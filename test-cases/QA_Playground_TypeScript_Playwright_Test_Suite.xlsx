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ilerio\Music\PLAYWRIGHT AUTOMATION\test-cases\"/>
    </mc:Choice>
  </mc:AlternateContent>
  <xr:revisionPtr revIDLastSave="0" documentId="13_ncr:1_{86D14260-A1C0-48E4-A47A-36B28DAFFE62}" xr6:coauthVersionLast="47" xr6:coauthVersionMax="47" xr10:uidLastSave="{00000000-0000-0000-0000-000000000000}"/>
  <bookViews>
    <workbookView xWindow="-120" yWindow="-120" windowWidth="29040" windowHeight="15720" xr2:uid="{00000000-000D-0000-FFFF-FFFF00000000}"/>
  </bookViews>
  <sheets>
    <sheet name="Dashboard" sheetId="1" r:id="rId1"/>
    <sheet name="Test Scenarios" sheetId="2" r:id="rId2"/>
    <sheet name="Test Cases" sheetId="3" r:id="rId3"/>
  </sheets>
  <calcPr calcId="181029"/>
</workbook>
</file>

<file path=xl/calcChain.xml><?xml version="1.0" encoding="utf-8"?>
<calcChain xmlns="http://schemas.openxmlformats.org/spreadsheetml/2006/main">
  <c r="B47" i="1" l="1"/>
  <c r="E47" i="1" s="1"/>
  <c r="B46" i="1"/>
  <c r="E46" i="1" s="1"/>
  <c r="B45" i="1"/>
  <c r="E45" i="1" s="1"/>
  <c r="B44" i="1"/>
  <c r="E44" i="1" s="1"/>
  <c r="B43" i="1"/>
  <c r="E43" i="1" s="1"/>
  <c r="E42" i="1"/>
  <c r="D42" i="1"/>
  <c r="C42" i="1"/>
  <c r="B42" i="1"/>
  <c r="B41" i="1"/>
  <c r="D41" i="1" s="1"/>
  <c r="B40" i="1"/>
  <c r="E40" i="1" s="1"/>
  <c r="C39" i="1"/>
  <c r="B39" i="1"/>
  <c r="E39" i="1" s="1"/>
  <c r="B38" i="1"/>
  <c r="C38" i="1" s="1"/>
  <c r="E37" i="1"/>
  <c r="B37" i="1"/>
  <c r="D37" i="1" s="1"/>
  <c r="B36" i="1"/>
  <c r="E36" i="1" s="1"/>
  <c r="B35" i="1"/>
  <c r="E35" i="1" s="1"/>
  <c r="E34" i="1"/>
  <c r="D34" i="1"/>
  <c r="C34" i="1"/>
  <c r="B34" i="1"/>
  <c r="B33" i="1"/>
  <c r="E33" i="1" s="1"/>
  <c r="E32" i="1"/>
  <c r="B32" i="1"/>
  <c r="D32" i="1" s="1"/>
  <c r="C31" i="1"/>
  <c r="B31" i="1"/>
  <c r="E31" i="1" s="1"/>
  <c r="D30" i="1"/>
  <c r="C30" i="1"/>
  <c r="B30" i="1"/>
  <c r="E30" i="1" s="1"/>
  <c r="F25" i="1"/>
  <c r="C25" i="1"/>
  <c r="F24" i="1"/>
  <c r="C24" i="1"/>
  <c r="F23" i="1"/>
  <c r="C23" i="1"/>
  <c r="F22" i="1"/>
  <c r="C22" i="1"/>
  <c r="E17" i="1"/>
  <c r="D17" i="1"/>
  <c r="F17" i="1" s="1"/>
  <c r="C17" i="1"/>
  <c r="E16" i="1"/>
  <c r="D16" i="1"/>
  <c r="C16" i="1"/>
  <c r="E15" i="1"/>
  <c r="D15" i="1"/>
  <c r="C15" i="1"/>
  <c r="E14" i="1"/>
  <c r="D14" i="1"/>
  <c r="C14" i="1"/>
  <c r="K6" i="1"/>
  <c r="I6" i="1"/>
  <c r="D6" i="1"/>
  <c r="M6" i="1" s="1"/>
  <c r="B6" i="1"/>
  <c r="F15" i="1" l="1"/>
  <c r="F30" i="1"/>
  <c r="F14" i="1"/>
  <c r="F42" i="1"/>
  <c r="F6" i="1"/>
  <c r="F34" i="1"/>
  <c r="F16" i="1"/>
  <c r="C35" i="1"/>
  <c r="D38" i="1"/>
  <c r="F38" i="1" s="1"/>
  <c r="E41" i="1"/>
  <c r="C32" i="1"/>
  <c r="F32" i="1" s="1"/>
  <c r="D35" i="1"/>
  <c r="F35" i="1" s="1"/>
  <c r="E38" i="1"/>
  <c r="C45" i="1"/>
  <c r="D45" i="1"/>
  <c r="C36" i="1"/>
  <c r="D39" i="1"/>
  <c r="F39" i="1" s="1"/>
  <c r="C33" i="1"/>
  <c r="D36" i="1"/>
  <c r="D33" i="1"/>
  <c r="C46" i="1"/>
  <c r="C43" i="1"/>
  <c r="D46" i="1"/>
  <c r="C40" i="1"/>
  <c r="D43" i="1"/>
  <c r="F43" i="1" s="1"/>
  <c r="C37" i="1"/>
  <c r="F37" i="1" s="1"/>
  <c r="D40" i="1"/>
  <c r="C47" i="1"/>
  <c r="D31" i="1"/>
  <c r="F31" i="1" s="1"/>
  <c r="C44" i="1"/>
  <c r="D47" i="1"/>
  <c r="F47" i="1" s="1"/>
  <c r="C41" i="1"/>
  <c r="F41" i="1" s="1"/>
  <c r="D44" i="1"/>
  <c r="F40" i="1" l="1"/>
  <c r="F45" i="1"/>
  <c r="F36" i="1"/>
  <c r="F46" i="1"/>
  <c r="F44" i="1"/>
  <c r="F33" i="1"/>
</calcChain>
</file>

<file path=xl/sharedStrings.xml><?xml version="1.0" encoding="utf-8"?>
<sst xmlns="http://schemas.openxmlformats.org/spreadsheetml/2006/main" count="463" uniqueCount="232">
  <si>
    <t>QA Playground | Test Scenarios</t>
  </si>
  <si>
    <t>TypeScript + Playwright portfolio • 18 practice modules • Bank App E2E planned after walkthrough</t>
  </si>
  <si>
    <t>TypeScript + Playwright | Detailed Test Cases</t>
  </si>
  <si>
    <t>Scenario ID</t>
  </si>
  <si>
    <t>19 Scenario IDs map to TC001–TC019 • 18 designed procedures • SCN019 / TC019 is planned after a live Bank App walkthrough</t>
  </si>
  <si>
    <t>Practice area</t>
  </si>
  <si>
    <t>Level</t>
  </si>
  <si>
    <t>Scenario / coverage</t>
  </si>
  <si>
    <t>TC ID</t>
  </si>
  <si>
    <t>Source URL</t>
  </si>
  <si>
    <t>Scenario coverage</t>
  </si>
  <si>
    <t>Phase</t>
  </si>
  <si>
    <t>Status</t>
  </si>
  <si>
    <t>Test case / objective</t>
  </si>
  <si>
    <t>SCN001</t>
  </si>
  <si>
    <t>Test steps</t>
  </si>
  <si>
    <t>Input Fields</t>
  </si>
  <si>
    <t>Test data by step</t>
  </si>
  <si>
    <t>Beginner</t>
  </si>
  <si>
    <t>Input values, append, clear, and field states</t>
  </si>
  <si>
    <t>Expected result by step</t>
  </si>
  <si>
    <t>https://qaplayground.com/practice/input-fields</t>
  </si>
  <si>
    <t>Type</t>
  </si>
  <si>
    <t>01 Basics</t>
  </si>
  <si>
    <t>Priority</t>
  </si>
  <si>
    <t>Automation</t>
  </si>
  <si>
    <t>Run status</t>
  </si>
  <si>
    <t>Complete</t>
  </si>
  <si>
    <t>SCN002</t>
  </si>
  <si>
    <t>Step count</t>
  </si>
  <si>
    <t>Buttons</t>
  </si>
  <si>
    <t>Click actions and button states</t>
  </si>
  <si>
    <t>https://qaplayground.com/practice/buttons</t>
  </si>
  <si>
    <t>TC001</t>
  </si>
  <si>
    <t>Not Started</t>
  </si>
  <si>
    <t>SCN003</t>
  </si>
  <si>
    <t>Forms</t>
  </si>
  <si>
    <t>Intermediate</t>
  </si>
  <si>
    <t>Valid submission and validation</t>
  </si>
  <si>
    <t>https://qaplayground.com/practice/forms</t>
  </si>
  <si>
    <t>02 Forms</t>
  </si>
  <si>
    <t>Verify input fields interactions and outcomes</t>
  </si>
  <si>
    <t>1. Open the Input Fields page and locate the movie-name input.
2. Enter a movie title and verify its input value.
3. Click Submit and read the result.
4. Locate the prefilled append field and read its starting value.
5. Place the caret at the end, type the suffix, and press Tab.
6. Locate the clearable field, click Clear, and read its value.
7. Check the disabled input and navigate past it with Tab.
8. Read the readonly field, attempt ordinary editing, and read it again.</t>
  </si>
  <si>
    <t>SCN004</t>
  </si>
  <si>
    <t>Dropdowns</t>
  </si>
  <si>
    <t>1. S01
2. Interstellar
3. Submit
4. S02
5.  Endgame; Tab
6. S04; Clear
7. S05
8. S06</t>
  </si>
  <si>
    <t>Native, custom, and searchable selections</t>
  </si>
  <si>
    <t>1. The input and Submit button are visible.
2. The input value equals Interstellar.
3. The displayed result reflects Interstellar.
4. The starting value is Avengers.
5. The field loses focus and reads Avengers Endgame.
6. The field is empty after clearing.
7. It is disabled, skipped by focus, and unchanged.
8. It remains readable but its value does not change.</t>
  </si>
  <si>
    <t>https://qaplayground.com/practice/dropdowns</t>
  </si>
  <si>
    <t>Integrated</t>
  </si>
  <si>
    <t>High</t>
  </si>
  <si>
    <t>SCN005</t>
  </si>
  <si>
    <t>Data Table</t>
  </si>
  <si>
    <t>Automated</t>
  </si>
  <si>
    <t>Inspect, search, sort, paginate, and edit rows</t>
  </si>
  <si>
    <t>https://qaplayground.com/practice/data-table</t>
  </si>
  <si>
    <t>Pass</t>
  </si>
  <si>
    <t>SCN006</t>
  </si>
  <si>
    <t>Alerts &amp; Dialogs</t>
  </si>
  <si>
    <t>Dialog content, actions, and dismissal</t>
  </si>
  <si>
    <t>https://qaplayground.com/practice/alerts</t>
  </si>
  <si>
    <t>SCN007</t>
  </si>
  <si>
    <t>Radio &amp; Checkbox</t>
  </si>
  <si>
    <t>TC002</t>
  </si>
  <si>
    <t>Checked, exclusive, and disabled states</t>
  </si>
  <si>
    <t>https://qaplayground.com/practice/radio-checkbox</t>
  </si>
  <si>
    <t>SCN008</t>
  </si>
  <si>
    <t>Date Picker</t>
  </si>
  <si>
    <t>Verify buttons interactions and outcomes</t>
  </si>
  <si>
    <t>Date entry, calendar selection, and constraints</t>
  </si>
  <si>
    <t>1. Open the Buttons page and record the relevant result messages.
2. Click an enabled action button once.
3. Click the double-click button once and inspect its result.
4. Double-click the same button.
5. Left-click the context-action button and inspect its result.
6. Right-click the context-action button.
7. Inspect the Disabled button state and result.</t>
  </si>
  <si>
    <t>https://qaplayground.com/practice/date-picker</t>
  </si>
  <si>
    <t>1. Buttons practice page
2. Single-click button
3. S07; one click
4. S07; double-click
5. S08; left click
6. S08; right click
7. S05</t>
  </si>
  <si>
    <t>1. The single, double, right-click, and disabled scenarios are visible.
2. Its result changes; unrelated result panels remain unchanged.
3. The double-click confirmation is not shown.
4. The result reads Double clicked!
5. The right-click action is not confirmed.
6. The context-action result updates.
7. The button is disabled and no action fires.</t>
  </si>
  <si>
    <t>SCN009</t>
  </si>
  <si>
    <t>Links</t>
  </si>
  <si>
    <t>Navigation, href, and tab behavior</t>
  </si>
  <si>
    <t>https://qaplayground.com/practice/links</t>
  </si>
  <si>
    <t>SCN010</t>
  </si>
  <si>
    <t>Not Automated</t>
  </si>
  <si>
    <t>Tabs &amp; Windows</t>
  </si>
  <si>
    <t>Popup capture and page switching</t>
  </si>
  <si>
    <t>Not Run</t>
  </si>
  <si>
    <t>https://qaplayground.com/practice/tabs-windows</t>
  </si>
  <si>
    <t>03 Browser</t>
  </si>
  <si>
    <t>SCN011</t>
  </si>
  <si>
    <t>Dynamic Waits</t>
  </si>
  <si>
    <t>Advanced</t>
  </si>
  <si>
    <t>TC003</t>
  </si>
  <si>
    <t>Wait for changing UI state without fixed sleeps</t>
  </si>
  <si>
    <t>https://qaplayground.com/practice/dynamic-waits</t>
  </si>
  <si>
    <t>SCN012</t>
  </si>
  <si>
    <t>Verify forms interactions and outcomes</t>
  </si>
  <si>
    <t>Multi Select</t>
  </si>
  <si>
    <t>1. Open Forms and locate F02 Personal Details.
2. Fill first and last name.
3. Fill a valid phone number and date of birth.
4. Choose one gender and submit.
5. Read the success state and submitted name.
6. Reset F02 and submit it with required fields empty.
7. Inspect the individual required-field errors.
8. In F01, enter an invalid email and a nonempty password, then Login.
9. In F05, enter two different passwords and accept Terms.
10. Submit F05 and read confirmation validation.</t>
  </si>
  <si>
    <t>Select, deselect, filter, and clear choices</t>
  </si>
  <si>
    <t>https://qaplayground.com/practice/multi-select</t>
  </si>
  <si>
    <t>1. F02
2. Reuben; Silerio
3. 9876543210; 1995-06-15
4. Male; Save Details
5. Reuben
6. Reset; Save Details
7. Name; phone; DOB; gender
8. not-an-email; secret123
9. secret123; wrong456; Terms
10. Submit</t>
  </si>
  <si>
    <t>1. First/last name, phone, DOB, gender, Save Details, and Reset are visible.
2. Both name fields retain the supplied values.
3. The phone has 10 digits and DOB has the chosen date.
4. Only Male is checked and submission succeeds.
5. The success message includes Reuben.
6. The empty form is not accepted.
7. Each required field or group shows its error.
8. Email format validation appears and login is rejected.
9. The values differ and Terms is checked.
10. The passwords-do-not-match error appears; no success state appears.</t>
  </si>
  <si>
    <t>SCN013</t>
  </si>
  <si>
    <t>File Upload</t>
  </si>
  <si>
    <t>File selection and upload validation</t>
  </si>
  <si>
    <t>https://qaplayground.com/practice/file-upload</t>
  </si>
  <si>
    <t>SCN014</t>
  </si>
  <si>
    <t>Drag &amp; Drop</t>
  </si>
  <si>
    <t>Move cards and verify destinations</t>
  </si>
  <si>
    <t>https://qaplayground.com/practice/drag-drop</t>
  </si>
  <si>
    <t>04 Advanced</t>
  </si>
  <si>
    <t>TC004</t>
  </si>
  <si>
    <t>SCN015</t>
  </si>
  <si>
    <t>iFrames</t>
  </si>
  <si>
    <t>Find and interact inside frames</t>
  </si>
  <si>
    <t>https://qaplayground.com/practice/iframes</t>
  </si>
  <si>
    <t>Verify dropdowns interactions and outcomes</t>
  </si>
  <si>
    <t>1. Open Dropdowns and locate the native fruit select.
2. Choose Apple by visible text.
3. Choose India from the country select by value.
4. Select Batman, then add Aquaman in the superhero multi-select.
5. Open the custom priority listbox and choose High Priority.
6. Type Pun in the searchable city combobox.
7. Select Pune and read the chosen city.</t>
  </si>
  <si>
    <t>SCN016</t>
  </si>
  <si>
    <t>Shadow DOM</t>
  </si>
  <si>
    <t>1. S01
2. Apple
3. S02; india
4. S04; Batman; Aquaman
5. S05; High Priority
6. S06; Pun
7. Pune</t>
  </si>
  <si>
    <t>Locate controls in open shadow roots</t>
  </si>
  <si>
    <t>1. Its default placeholder is selected.
2. The select value is apple and the result confirms Apple.
3. The visible label is India and the selected value is india.
4. Both heroes are selected together; exactly two are selected.
5. The trigger and result show High Priority.
6. Pune appears in the filtered options; unrelated cities are filtered out.
7. The result confirms the intended city selection.</t>
  </si>
  <si>
    <t>https://qaplayground.com/practice/shadow-dom</t>
  </si>
  <si>
    <t>SCN017</t>
  </si>
  <si>
    <t>Modal Windows</t>
  </si>
  <si>
    <t>Open, close, and scope modal windows</t>
  </si>
  <si>
    <t>https://qaplayground.com/practice/modal-windows</t>
  </si>
  <si>
    <t>SCN018</t>
  </si>
  <si>
    <t>Infinite Scroll</t>
  </si>
  <si>
    <t>Pagination on scroll and virtualized lists</t>
  </si>
  <si>
    <t>https://qaplayground.com/practice/infinite-scroll</t>
  </si>
  <si>
    <t>TC005</t>
  </si>
  <si>
    <t>SCN019</t>
  </si>
  <si>
    <t>Bank App E2E</t>
  </si>
  <si>
    <t>Bank App E2E: define the case and steps after a live walkthrough</t>
  </si>
  <si>
    <t>https://qaplayground.com/practice</t>
  </si>
  <si>
    <t>Verify data table interactions and outcomes</t>
  </si>
  <si>
    <t>05 E2E</t>
  </si>
  <si>
    <t>Planned</t>
  </si>
  <si>
    <t>1. Open Data Table with default search and genre settings.
2. Compare the header labels with the expected list.
3. Read the page count and first-page row numbers.
4. Search for a known book and inspect the filtered names.
5. Clear search, click page 2, and read the row numbers.
6. Click Book Name once and read visible names.
7. Click Book Name a second time.
8. Click Book Name a third time.
9. Record the book count, open + Add Book, and leave Name and Author empty.
10. Click Save and inspect each required-field error.
11. Close the dialog and compare the book count.</t>
  </si>
  <si>
    <t>1. Data Table
2. Sr No.; Book Name; Book Genre; Book Author; Book ISBN; Book Published; Actions
3. Page 1
4. Clean Code
5. Clear; 2
6. Book Name
7. Book Name
8. Book Name
9. + Add Book
10. Save
11. Initial count</t>
  </si>
  <si>
    <t>1. Seven headers, five first-page rows, and the count indicator appear.
2. All seven labels match in order.
3. Five rows numbered 1–5 appear; indicator says 25 books, page 1 of 5.
4. Only matching book rows remain; the result count updates.
5. The full table returns and rows 6–10 display on page 2.
6. Names sort ascending.
7. Names sort descending.
8. The original unsorted order returns.
9. The add dialog opens with required fields blank.
10. Name and Author errors appear; no new row is saved.
11. The table count is unchanged.</t>
  </si>
  <si>
    <t>TC006</t>
  </si>
  <si>
    <t>Verify alerts &amp; dialogs interactions and outcomes</t>
  </si>
  <si>
    <t>1. Open Alerts &amp; Dialogs and trigger the info dialog.
2. Read its heading and close it using the dialog close control.
3. Open the confirm-action dialog and read its initial result.
4. Click Confirm and inspect the result.
5. Open the keyboard-dismissible dialog and press Escape.
6. Open an overlay dialog and click inside its panel.
7. Close the open dialog using its intended dismissal control.</t>
  </si>
  <si>
    <t>1. S01; Open Info Dialog
2. S01; ×
3. S02; Open Confirm Dialog
4. Confirm
5. S06; Escape
6. Dialog panel
7. Close</t>
  </si>
  <si>
    <t>1. A visible dialog opens with role=dialog and aria-modal=true.
2. The expected heading is present and the dialog disappears.
3. The dialog is visible and no confirmation is recorded yet.
4. Submission confirmed! appears and the dialog closes.
5. The dialog disappears and the dismissal result updates.
6. The dialog remains open; the inside click does not dismiss it.
7. The page returns to its non-dialog state.</t>
  </si>
  <si>
    <t>TC007</t>
  </si>
  <si>
    <t>Verify radio &amp; checkbox interactions and outcomes</t>
  </si>
  <si>
    <t>1. Open Radio &amp; Checkbox and locate an unchecked checkbox.
2. Check it and read its selected state.
3. Uncheck it and read its state again.
4. Locate one radio group and select its first enabled option.
5. Choose a different radio in the same group.
6. Inspect the disabled checkbox without forcing interaction.</t>
  </si>
  <si>
    <t>1. S01
2. Checkbox
3. Checkbox
4. S02
5. Second option
6. S05</t>
  </si>
  <si>
    <t>1. The target begins unchecked.
2. The target becomes checked.
3. The target becomes unchecked.
4. The first option becomes checked.
5. Only the second option is checked; the first is unchecked.
6. It is disabled and its selected state remains unchanged.</t>
  </si>
  <si>
    <t>TC008</t>
  </si>
  <si>
    <t>Verify date picker interactions and outcomes</t>
  </si>
  <si>
    <t>1. Open Date Picker and locate the native date input.
2. Fill a valid ISO date and read the input value.
3. Open the calendar picker and inspect its grid.
4. Choose an enabled day and read the selected-date display.
5. Read the constrained input minimum date.
6. Enter a date before that minimum and trigger validation.</t>
  </si>
  <si>
    <t>1. S01
2. 2026-10-15
3. S02
4. Visible day
5. S05; min
6. One day before min</t>
  </si>
  <si>
    <t>1. The date field is enabled.
2. The field value exactly matches 2026-10-15.
3. The calendar grid becomes visible.
4. The displayed date corresponds to the chosen day.
5. A valid minimum boundary is available.
6. The input is invalid or browser validation blocks the date.</t>
  </si>
  <si>
    <t>TC009</t>
  </si>
  <si>
    <t>Verify links interactions and outcomes</t>
  </si>
  <si>
    <t>1. Open Links and record an internal link href and current URL.
2. Click the internal link and compare the active URL.
3. Return to Links and read an external link href and tab count.
4. Click the external link while capturing the new page.
5. Return to Links and request the broken-link href.
6. Read a known link label and href.</t>
  </si>
  <si>
    <t>1. S01
2. Internal link
3. S02
4. External link
5. S03
6. Target link</t>
  </si>
  <si>
    <t>1. Both starting URL and target href are known.
2. The destination matches the href in the same tab.
3. The target URL and original tab count are known.
4. One new tab opens with the expected URL; original tab remains open.
5. The URL returns an HTTP error status.
6. The descriptive label and href match the intended destination.</t>
  </si>
  <si>
    <t>QA PLAYGROUND  /  AUTOMATION DASHBOARD</t>
  </si>
  <si>
    <t>TypeScript + Playwright  •  Progress updates from the Test Cases sheet  •  SCN019 Bank App is planned</t>
  </si>
  <si>
    <t>TC010</t>
  </si>
  <si>
    <t>TOTAL SCENARIOS</t>
  </si>
  <si>
    <t>DESIGNED TEST CASES</t>
  </si>
  <si>
    <t>TEST CASE AUTOMATION</t>
  </si>
  <si>
    <t>PASSED TEST CASES</t>
  </si>
  <si>
    <t>FAILED TEST CASES</t>
  </si>
  <si>
    <t>TEST CASE RUN COMPLETION</t>
  </si>
  <si>
    <t>Verify tabs &amp; windows interactions and outcomes</t>
  </si>
  <si>
    <t>1. Open Tabs &amp; Windows and record original page URL and tab count.
2. Capture the new-page event while opening a tab link.
3. Wait for the new page and compare its URL with the link href.
4. Switch attention back to the original tab.
5. Close the captured new tab.</t>
  </si>
  <si>
    <t>1. S01
2. Open New Tab
3. Href
4. Original page
5. New page</t>
  </si>
  <si>
    <t>1. The original browser context is known.
2. The page count increases by one.
3. The new tab reaches the expected destination.
4. The original URL is unchanged and the page remains usable.
5. The page reports closed and open tab count returns to baseline.</t>
  </si>
  <si>
    <t>TC011</t>
  </si>
  <si>
    <t>Verify dynamic waits interactions and outcomes</t>
  </si>
  <si>
    <t>1. Open Dynamic Waits and verify the delayed target is initially absent.
2. Trigger delayed rendering and wait for target visibility.
3. Trigger spinner loading and observe the pending state.
4. Wait for the spinner to hide and the content to show.
5. Trigger a toast and read its message.
6. Wait for automatic toast dismissal.
7. Verify a delayed button starts disabled, then arm it.
8. Click the enabled button.</t>
  </si>
  <si>
    <t>1. S01
2. Trigger; bounded timeout
3. S02
4. Bounded timeout
5. S03
6. Up to 4 seconds
7. S05
8. Submit</t>
  </si>
  <si>
    <t>1. The trigger is visible before the target appears.
2. The target appears without a fixed sleep.
3. The spinner appears before loaded content.
4. The spinner disappears and loaded content appears.
5. The toast becomes visible with the expected text.
6. The toast becomes hidden or detached.
7. The button transitions from disabled to enabled.
8. The newly enabled action succeeds.</t>
  </si>
  <si>
    <t>TC012</t>
  </si>
  <si>
    <t>One TC ID per Scenario ID: 18 designed cases and 1 planned Bank App case. Status and phase charts include the 18 designed cases.</t>
  </si>
  <si>
    <t>Verify multi select interactions and outcomes</t>
  </si>
  <si>
    <t>DESIGNED CASES BY LEARNING PHASE</t>
  </si>
  <si>
    <t>1. Open Multi Select and locate a native multi-select.
2. Select one option and inspect selectedOptions.
3. Select a second distinct option without replacing the first.
4. Deselect one option and read selectedOptions again.
5. Open the custom checkbox multi-select and select at least two options.
6. Click Clear All and inspect count and option states.</t>
  </si>
  <si>
    <t>1. S01
2. One option
3. S02; second option
4. S03
5. S04
6. Clear All</t>
  </si>
  <si>
    <t>Total cases</t>
  </si>
  <si>
    <t>Passed</t>
  </si>
  <si>
    <t>Coverage</t>
  </si>
  <si>
    <t>1. Available options are visible and initial selection is known.
2. Exactly that option is selected.
3. Exactly two requested options are selected.
4. The removed option is absent and the other remains.
5. The selected-count label matches the choices.
6. The count is zero and no option remains selected.</t>
  </si>
  <si>
    <t>TC013</t>
  </si>
  <si>
    <t>Verify file upload interactions and outcomes</t>
  </si>
  <si>
    <t>1. Prepare small file fixtures and open File Upload.
2. Select a single file using the native input.
3. Select two files on the multiple-file input.
4. Verify the image-only input accept restriction.
5. Select a non-image fixture through the test control.
6. Read the maximum file size and prepare a larger file.
7. Select the oversize fixture and inspect validation.
8. With no file selected in the progress scenario, check Upload.</t>
  </si>
  <si>
    <t>1. sample.txt; sample1.txt; sample2.txt
2. S01; sample.txt
3. S02; sample1.txt; sample2.txt
4. S05; image/*
5. sample.txt
6. S06; oversize fixture
7. Oversize fixture
8. S08</t>
  </si>
  <si>
    <t>1. Fixtures exist and the upload controls are visible.
2. One selected file and its name are displayed.
3. Both names appear and selected count is two.
4. The accept attribute restricts selection to images.
5. A descriptive file-type error appears; no success appears.
6. The fixture actually exceeds the displayed limit.
7. The size error appears and no success state appears.
8. Upload is disabled and no progress begins.</t>
  </si>
  <si>
    <t>TC014</t>
  </si>
  <si>
    <t>Verify drag &amp; drop interactions and outcomes</t>
  </si>
  <si>
    <t>1. Open Drag &amp; Drop and record the basic item and zone state.
2. Drag the basic item to its target zone.
3. Locate card-2 and zone-b and record other zones.
4. Drag card-2 into zone-b.
5. Record sortable list order and drag item-3 above item-1.
6. Locate task-2 in Todo and the Done column.
7. Drag task-2 from Todo to Done.</t>
  </si>
  <si>
    <t>DESIGNED CASE AUTOMATION &amp; RUN STATES</t>
  </si>
  <si>
    <t>1. S01
2. Draggable item
3. S02
4. card-2; zone-b
5. S03; item-3; item-1
6. S04
7. task-2</t>
  </si>
  <si>
    <t>Automation status</t>
  </si>
  <si>
    <t>Cases</t>
  </si>
  <si>
    <t>1. The draggable item is outside an empty target zone.
2. The item moves into the zone and result confirms the drop.
3. Targets are distinct and baseline state is known.
4. Zone-b contains card-2 exactly once; other zones are unchanged.
5. Item-3 becomes first; count and inventory remain unchanged.
6. Both source task and destination are present.
7. The task is absent from Todo and present exactly once in Done.</t>
  </si>
  <si>
    <t>In Progress</t>
  </si>
  <si>
    <t>TC015</t>
  </si>
  <si>
    <t>Fail</t>
  </si>
  <si>
    <t>Skipped</t>
  </si>
  <si>
    <t>Verify iframes interactions and outcomes</t>
  </si>
  <si>
    <t>Blocked</t>
  </si>
  <si>
    <t>1. Open iFrames and locate the basic iframe.
2. Fill the input and submit from inside the same frame.
3. Locate the preferences iframe and enter its context.
4. Choose a non-default preference.
5. Locate the outer and then inner iframe.
6. Fill and submit the nested-frame form.
7. Trigger dynamic iframe content and wait for its button.</t>
  </si>
  <si>
    <t>1. S01
2. Sample text; Submit
3. S02
4. Visible option
5. S04
6. Sample text; Submit
7. S05; bounded timeout</t>
  </si>
  <si>
    <t>1. The frame is attached and its form controls are accessible.
2. The frame result confirms the exact submitted text.
3. Its dropdown and Save button are accessible.
4. The chosen value remains selected and Save is enabled.
5. The nested input is accessible two levels deep.
6. The surrounding page result reflects the nested value.
7. The frame button appears and can be clicked without a fixed sleep.</t>
  </si>
  <si>
    <t>DESIGNED CASES BY PRACTICE AREA</t>
  </si>
  <si>
    <t>Area</t>
  </si>
  <si>
    <t>TC016</t>
  </si>
  <si>
    <t>Verify shadow dom interactions and outcomes</t>
  </si>
  <si>
    <t>1. Open Shadow DOM and locate the basic open-shadow host.
2. Record the click count, click once, and reread the count.
3. Locate host-1 and host-2 and record their states.
4. Click the button scoped to host-2.
5. Traverse the outer and inner open shadow roots.
6. Click the nested button and inspect its result.
7. Fill the shadow form input and choose a valid option.
8. Submit the shadow form and read confirmation.</t>
  </si>
  <si>
    <t>1. S01
2. Shadow button
3. S02
4. host-2
5. S03
6. Nested button
7. S04; valid text; valid option
8. Submit</t>
  </si>
  <si>
    <t>1. Its inner button is accessible through the host.
2. The count increments by exactly one.
3. Both hosts are distinct.
4. Only host-2 changes; host-1 remains unchanged.
5. The nested button is visible.
6. The inner control responds without affecting the outer host.
7. Both values are present within the same shadow root.
8. A success confirmation appears inside the shadow root.</t>
  </si>
  <si>
    <t>TC017</t>
  </si>
  <si>
    <t>Verify modal windows interactions and outcomes</t>
  </si>
  <si>
    <t>1. Open Modal Windows and verify the simple modal is initially absent.
2. Click Open Simple Modal and inspect its heading.
3. Click Close and inspect the page result.
4. Choose a particular repeated card and scope its Details button.
5. Click Details and inspect the modal title.
6. Open a backdrop-dismissible modal and click outside its panel.</t>
  </si>
  <si>
    <t>1. S01
2. Open Simple Modal
3. Close
4. S02; target card
5. Details
6. Backdrop</t>
  </si>
  <si>
    <t>1. The trigger is visible without an open dialog.
2. The expected modal becomes visible.
3. The modal disappears and close result updates.
4. The correct card trigger is unambiguous.
5. The modal belongs to the chosen card.
6. The modal closes and background controls become available.</t>
  </si>
  <si>
    <t>TC018</t>
  </si>
  <si>
    <t>Verify infinite scroll interactions and outcomes</t>
  </si>
  <si>
    <t>1. Open Infinite Scroll and count items in the simple list.
2. Scroll the list to its bottom and wait for the next batch.
3. Continue loading until the end marker appears.
4. Open the virtualized list and confirm item 1 exists.
5. Scroll until item 50 is visible and inspect rendered DOM.
6. Scroll the manual list to its Load More threshold.
7. Click Load More and wait for the final batch.</t>
  </si>
  <si>
    <t>1. S01
2. List bottom
3. End of List
4. S03
5. Item 50
6. S04
7. Load More</t>
  </si>
  <si>
    <t>1. The initial visible item count is recorded.
2. New items append and the count increases.
3. The list reaches its defined end.
4. Item 1 is initially rendered.
5. Item 1 is recycled out of the DOM while item 50 is visible.
6. Load More becomes visible.
7. The item count increases and the final target appears.</t>
  </si>
  <si>
    <t>TC019</t>
  </si>
  <si>
    <t>Bank App end-to-end flow — design after walkthrough</t>
  </si>
  <si>
    <t>Planned — complete after live walkthrough</t>
  </si>
  <si>
    <t>Pending walkthrough</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</si>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</sst>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rgb="FF000000"/>
      <name val="Carlito"/>
      <scheme val="minor"/>
    </font>
    <font>
      <b/>
      <sz val="18"/>
      <color rgb="FFFFFFFF"/>
      <name val="Play"/>
    </font>
    <font>
      <sz val="10"/>
      <color rgb="FF146C77"/>
      <name val="Aptos"/>
    </font>
    <font>
      <b/>
      <sz val="11"/>
      <color rgb="FFFFFFFF"/>
      <name val="Carlito"/>
    </font>
    <font>
      <b/>
      <sz val="10"/>
      <color rgb="FFFFFFFF"/>
      <name val="Aptos"/>
    </font>
    <font>
      <sz val="11"/>
      <color theme="1"/>
      <name val="Carlito"/>
    </font>
    <font>
      <b/>
      <sz val="10"/>
      <color rgb="FF173B52"/>
      <name val="Aptos"/>
    </font>
    <font>
      <sz val="10"/>
      <color rgb="FF243447"/>
      <name val="Aptos"/>
    </font>
    <font>
      <sz val="10"/>
      <color rgb="FF243447"/>
      <name val="Arial"/>
    </font>
    <font>
      <b/>
      <sz val="19"/>
      <color rgb="FFFFFFFF"/>
      <name val="Play"/>
    </font>
    <font>
      <b/>
      <sz val="10"/>
      <color rgb="FF37566A"/>
      <name val="Aptos"/>
    </font>
    <font>
      <b/>
      <sz val="20"/>
      <color rgb="FF102A43"/>
      <name val="Aptos"/>
    </font>
    <font>
      <sz val="10"/>
      <color rgb="FF7A5A16"/>
      <name val="Aptos"/>
    </font>
    <font>
      <b/>
      <sz val="10"/>
      <color rgb="FF243447"/>
      <name val="Aptos"/>
    </font>
    <font>
      <sz val="11"/>
      <color theme="1"/>
      <name val="Carlito"/>
      <scheme val="minor"/>
    </font>
    <font>
      <sz val="10"/>
      <color rgb="FF243447"/>
      <name val="Arial"/>
      <family val="2"/>
    </font>
  </fonts>
  <fills count="10">
    <fill>
      <patternFill patternType="none"/>
    </fill>
    <fill>
      <patternFill patternType="gray125"/>
    </fill>
    <fill>
      <patternFill patternType="solid">
        <fgColor rgb="FF102A43"/>
        <bgColor rgb="FF102A43"/>
      </patternFill>
    </fill>
    <fill>
      <patternFill patternType="solid">
        <fgColor rgb="FFDDF3F0"/>
        <bgColor rgb="FFDDF3F0"/>
      </patternFill>
    </fill>
    <fill>
      <patternFill patternType="solid">
        <fgColor rgb="FF146C77"/>
        <bgColor rgb="FF146C77"/>
      </patternFill>
    </fill>
    <fill>
      <patternFill patternType="solid">
        <fgColor rgb="FFEAF2F7"/>
        <bgColor rgb="FFEAF2F7"/>
      </patternFill>
    </fill>
    <fill>
      <patternFill patternType="solid">
        <fgColor rgb="FFFFF7E8"/>
        <bgColor rgb="FFFFF7E8"/>
      </patternFill>
    </fill>
    <fill>
      <patternFill patternType="solid">
        <fgColor rgb="FFEAF2F6"/>
        <bgColor rgb="FFEAF2F6"/>
      </patternFill>
    </fill>
    <fill>
      <patternFill patternType="solid">
        <fgColor rgb="FFFFF3D4"/>
        <bgColor rgb="FFFFF3D4"/>
      </patternFill>
    </fill>
    <fill>
      <patternFill patternType="solid">
        <fgColor rgb="FFDCE9EE"/>
        <bgColor rgb="FFDCE9EE"/>
      </patternFill>
    </fill>
  </fills>
  <borders count="2">
    <border>
      <left/>
      <right/>
      <top/>
      <bottom/>
      <diagonal/>
    </border>
    <border>
      <left style="thin">
        <color rgb="FFD5E2E9"/>
      </left>
      <right style="thin">
        <color rgb="FFD5E2E9"/>
      </right>
      <top style="thin">
        <color rgb="FFD5E2E9"/>
      </top>
      <bottom style="thin">
        <color rgb="FFD5E2E9"/>
      </bottom>
      <diagonal/>
    </border>
  </borders>
  <cellStyleXfs count="1">
    <xf numFmtId="0" fontId="0" fillId="0" borderId="0"/>
  </cellStyleXfs>
  <cellXfs count="27">
    <xf numFmtId="0" fontId="0" fillId="0" borderId="0" xfId="0"/>
    <xf numFmtId="0" fontId="3" fillId="4" borderId="0" xfId="0" applyFont="1" applyFill="1" applyAlignment="1">
      <alignment horizontal="left" vertical="center" wrapText="1"/>
    </xf>
    <xf numFmtId="0" fontId="4" fillId="4" borderId="0" xfId="0" applyFont="1" applyFill="1" applyAlignment="1">
      <alignment horizontal="left" vertical="center" wrapText="1"/>
    </xf>
    <xf numFmtId="0" fontId="5" fillId="0" borderId="0" xfId="0" applyFont="1" applyAlignment="1">
      <alignment vertical="center" wrapText="1"/>
    </xf>
    <xf numFmtId="0" fontId="6" fillId="5" borderId="0" xfId="0" applyFont="1" applyFill="1" applyAlignment="1">
      <alignment vertical="top" wrapText="1"/>
    </xf>
    <xf numFmtId="0" fontId="7" fillId="5" borderId="0" xfId="0" applyFont="1" applyFill="1" applyAlignment="1">
      <alignment vertical="top" wrapText="1"/>
    </xf>
    <xf numFmtId="0" fontId="8" fillId="5" borderId="0" xfId="0" applyFont="1" applyFill="1" applyAlignment="1">
      <alignment vertical="top" wrapText="1"/>
    </xf>
    <xf numFmtId="0" fontId="6" fillId="6" borderId="0" xfId="0" applyFont="1" applyFill="1" applyAlignment="1">
      <alignment vertical="top" wrapText="1"/>
    </xf>
    <xf numFmtId="0" fontId="7" fillId="6" borderId="0" xfId="0" applyFont="1" applyFill="1" applyAlignment="1">
      <alignment vertical="top" wrapText="1"/>
    </xf>
    <xf numFmtId="0" fontId="7" fillId="0" borderId="0" xfId="0" applyFont="1"/>
    <xf numFmtId="0" fontId="6" fillId="9" borderId="1" xfId="0" applyFont="1" applyFill="1" applyBorder="1"/>
    <xf numFmtId="0" fontId="7" fillId="0" borderId="1" xfId="0" applyFont="1" applyBorder="1"/>
    <xf numFmtId="9" fontId="7" fillId="0" borderId="1" xfId="0" applyNumberFormat="1" applyFont="1" applyBorder="1"/>
    <xf numFmtId="0" fontId="13" fillId="9" borderId="1" xfId="0" applyFont="1" applyFill="1" applyBorder="1"/>
    <xf numFmtId="0" fontId="7" fillId="0" borderId="1" xfId="0" applyFont="1" applyBorder="1" applyAlignment="1">
      <alignment vertical="center"/>
    </xf>
    <xf numFmtId="9" fontId="7" fillId="0" borderId="1" xfId="0" applyNumberFormat="1" applyFont="1" applyBorder="1" applyAlignment="1">
      <alignment vertical="center"/>
    </xf>
    <xf numFmtId="0" fontId="14" fillId="0" borderId="0" xfId="0" applyFont="1"/>
    <xf numFmtId="0" fontId="15" fillId="5" borderId="0" xfId="0" applyFont="1" applyFill="1" applyAlignment="1">
      <alignment vertical="top" wrapText="1"/>
    </xf>
    <xf numFmtId="0" fontId="11" fillId="7" borderId="0" xfId="0" applyFont="1" applyFill="1" applyAlignment="1">
      <alignment horizontal="left" vertical="center"/>
    </xf>
    <xf numFmtId="0" fontId="0" fillId="0" borderId="0" xfId="0"/>
    <xf numFmtId="9" fontId="11" fillId="7" borderId="0" xfId="0" applyNumberFormat="1" applyFont="1" applyFill="1" applyAlignment="1">
      <alignment horizontal="left" vertical="center"/>
    </xf>
    <xf numFmtId="0" fontId="12" fillId="8" borderId="0" xfId="0" applyFont="1" applyFill="1" applyAlignment="1">
      <alignment wrapText="1"/>
    </xf>
    <xf numFmtId="0" fontId="4" fillId="4" borderId="0" xfId="0" applyFont="1" applyFill="1"/>
    <xf numFmtId="0" fontId="10" fillId="7" borderId="0" xfId="0" applyFont="1" applyFill="1" applyAlignment="1">
      <alignment vertical="center"/>
    </xf>
    <xf numFmtId="0" fontId="9" fillId="2" borderId="0" xfId="0" applyFont="1" applyFill="1" applyAlignment="1">
      <alignment vertical="center"/>
    </xf>
    <xf numFmtId="0" fontId="2" fillId="3" borderId="0" xfId="0" applyFont="1" applyFill="1" applyAlignment="1">
      <alignment vertical="center"/>
    </xf>
    <xf numFmtId="0" fontId="1" fillId="2" borderId="0" xfId="0" applyFont="1" applyFill="1" applyAlignment="1">
      <alignment vertical="center"/>
    </xf>
  </cellXfs>
  <cellStyles count="1">
    <cellStyle name="Normal" xfId="0" builtinId="0"/>
  </cellStyles>
  <dxfs count="8">
    <dxf>
      <fill>
        <patternFill patternType="solid">
          <fgColor rgb="FFFFFFFF"/>
          <bgColor rgb="FFFFFFFF"/>
        </patternFill>
      </fill>
    </dxf>
    <dxf>
      <fill>
        <patternFill patternType="solid">
          <fgColor rgb="FFFFFFFF"/>
          <bgColor rgb="FFFFFFFF"/>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2">
    <tableStyle name="Test Scenarios-style" pivot="0" count="4" xr9:uid="{00000000-0011-0000-FFFF-FFFF00000000}">
      <tableStyleElement type="wholeTable" size="0" dxfId="7"/>
      <tableStyleElement type="headerRow" dxfId="6"/>
      <tableStyleElement type="firstRowStripe" dxfId="5"/>
      <tableStyleElement type="secondRowStripe" dxfId="4"/>
    </tableStyle>
    <tableStyle name="Test Cases-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PH" b="0">
                <a:solidFill>
                  <a:srgbClr val="757575"/>
                </a:solidFill>
                <a:latin typeface="+mn-lt"/>
              </a:rPr>
              <a:t>Automation status</a:t>
            </a:r>
          </a:p>
        </c:rich>
      </c:tx>
      <c:overlay val="0"/>
    </c:title>
    <c:autoTitleDeleted val="0"/>
    <c:plotArea>
      <c:layout/>
      <c:pieChart>
        <c:varyColors val="1"/>
        <c:ser>
          <c:idx val="0"/>
          <c:order val="0"/>
          <c:dPt>
            <c:idx val="0"/>
            <c:bubble3D val="0"/>
            <c:spPr>
              <a:solidFill>
                <a:srgbClr val="156082"/>
              </a:solidFill>
            </c:spPr>
            <c:extLst>
              <c:ext xmlns:c16="http://schemas.microsoft.com/office/drawing/2014/chart" uri="{C3380CC4-5D6E-409C-BE32-E72D297353CC}">
                <c16:uniqueId val="{00000001-2F76-4FDC-8FA4-FF2CC5A82A45}"/>
              </c:ext>
            </c:extLst>
          </c:dPt>
          <c:dPt>
            <c:idx val="1"/>
            <c:bubble3D val="0"/>
            <c:spPr>
              <a:solidFill>
                <a:srgbClr val="E97132"/>
              </a:solidFill>
            </c:spPr>
            <c:extLst>
              <c:ext xmlns:c16="http://schemas.microsoft.com/office/drawing/2014/chart" uri="{C3380CC4-5D6E-409C-BE32-E72D297353CC}">
                <c16:uniqueId val="{00000003-2F76-4FDC-8FA4-FF2CC5A82A45}"/>
              </c:ext>
            </c:extLst>
          </c:dPt>
          <c:dPt>
            <c:idx val="2"/>
            <c:bubble3D val="0"/>
            <c:spPr>
              <a:solidFill>
                <a:srgbClr val="196B24"/>
              </a:solidFill>
            </c:spPr>
            <c:extLst>
              <c:ext xmlns:c16="http://schemas.microsoft.com/office/drawing/2014/chart" uri="{C3380CC4-5D6E-409C-BE32-E72D297353CC}">
                <c16:uniqueId val="{00000005-2F76-4FDC-8FA4-FF2CC5A82A45}"/>
              </c:ext>
            </c:extLst>
          </c:dPt>
          <c:dPt>
            <c:idx val="3"/>
            <c:bubble3D val="0"/>
            <c:spPr>
              <a:solidFill>
                <a:srgbClr val="0F9ED5"/>
              </a:solidFill>
            </c:spPr>
            <c:extLst>
              <c:ext xmlns:c16="http://schemas.microsoft.com/office/drawing/2014/chart" uri="{C3380CC4-5D6E-409C-BE32-E72D297353CC}">
                <c16:uniqueId val="{00000007-2F76-4FDC-8FA4-FF2CC5A82A45}"/>
              </c:ext>
            </c:extLst>
          </c:dPt>
          <c:cat>
            <c:strRef>
              <c:f>Dashboard!$B$22:$B$25</c:f>
              <c:strCache>
                <c:ptCount val="4"/>
                <c:pt idx="0">
                  <c:v>Not Automated</c:v>
                </c:pt>
                <c:pt idx="1">
                  <c:v>In Progress</c:v>
                </c:pt>
                <c:pt idx="2">
                  <c:v>Automated</c:v>
                </c:pt>
                <c:pt idx="3">
                  <c:v>Skipped</c:v>
                </c:pt>
              </c:strCache>
            </c:strRef>
          </c:cat>
          <c:val>
            <c:numRef>
              <c:f>Dashboard!$C$22:$C$25</c:f>
              <c:numCache>
                <c:formatCode>General</c:formatCode>
                <c:ptCount val="4"/>
                <c:pt idx="0">
                  <c:v>14</c:v>
                </c:pt>
                <c:pt idx="1">
                  <c:v>0</c:v>
                </c:pt>
                <c:pt idx="2">
                  <c:v>4</c:v>
                </c:pt>
                <c:pt idx="3">
                  <c:v>0</c:v>
                </c:pt>
              </c:numCache>
            </c:numRef>
          </c:val>
          <c:extLst>
            <c:ext xmlns:c16="http://schemas.microsoft.com/office/drawing/2014/chart" uri="{C3380CC4-5D6E-409C-BE32-E72D297353CC}">
              <c16:uniqueId val="{00000008-2F76-4FDC-8FA4-FF2CC5A82A45}"/>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PH" b="0">
                <a:solidFill>
                  <a:srgbClr val="757575"/>
                </a:solidFill>
                <a:latin typeface="+mn-lt"/>
              </a:rPr>
              <a:t>Cases by phase: total vs automated</a:t>
            </a:r>
          </a:p>
        </c:rich>
      </c:tx>
      <c:overlay val="0"/>
    </c:title>
    <c:autoTitleDeleted val="0"/>
    <c:plotArea>
      <c:layout/>
      <c:barChart>
        <c:barDir val="col"/>
        <c:grouping val="clustered"/>
        <c:varyColors val="1"/>
        <c:ser>
          <c:idx val="0"/>
          <c:order val="0"/>
          <c:tx>
            <c:v>Total cases</c:v>
          </c:tx>
          <c:spPr>
            <a:solidFill>
              <a:schemeClr val="accent1"/>
            </a:solidFill>
            <a:ln cmpd="sng">
              <a:noFill/>
            </a:ln>
          </c:spPr>
          <c:invertIfNegative val="0"/>
          <c:cat>
            <c:strRef>
              <c:f>Dashboard!$B$14:$B$17</c:f>
              <c:strCache>
                <c:ptCount val="4"/>
                <c:pt idx="0">
                  <c:v>01 Basics</c:v>
                </c:pt>
                <c:pt idx="1">
                  <c:v>02 Forms</c:v>
                </c:pt>
                <c:pt idx="2">
                  <c:v>03 Browser</c:v>
                </c:pt>
                <c:pt idx="3">
                  <c:v>04 Advanced</c:v>
                </c:pt>
              </c:strCache>
            </c:strRef>
          </c:cat>
          <c:val>
            <c:numRef>
              <c:f>Dashboard!$C$14:$C$17</c:f>
              <c:numCache>
                <c:formatCode>General</c:formatCode>
                <c:ptCount val="4"/>
                <c:pt idx="0">
                  <c:v>5</c:v>
                </c:pt>
                <c:pt idx="1">
                  <c:v>5</c:v>
                </c:pt>
                <c:pt idx="2">
                  <c:v>4</c:v>
                </c:pt>
                <c:pt idx="3">
                  <c:v>4</c:v>
                </c:pt>
              </c:numCache>
            </c:numRef>
          </c:val>
          <c:extLst>
            <c:ext xmlns:c16="http://schemas.microsoft.com/office/drawing/2014/chart" uri="{C3380CC4-5D6E-409C-BE32-E72D297353CC}">
              <c16:uniqueId val="{00000000-1502-4927-9F97-81C2FF6AA4C7}"/>
            </c:ext>
          </c:extLst>
        </c:ser>
        <c:ser>
          <c:idx val="1"/>
          <c:order val="1"/>
          <c:tx>
            <c:v>Automated</c:v>
          </c:tx>
          <c:spPr>
            <a:solidFill>
              <a:schemeClr val="accent2"/>
            </a:solidFill>
            <a:ln cmpd="sng">
              <a:noFill/>
            </a:ln>
          </c:spPr>
          <c:invertIfNegative val="0"/>
          <c:cat>
            <c:strRef>
              <c:f>Dashboard!$B$14:$B$17</c:f>
              <c:strCache>
                <c:ptCount val="4"/>
                <c:pt idx="0">
                  <c:v>01 Basics</c:v>
                </c:pt>
                <c:pt idx="1">
                  <c:v>02 Forms</c:v>
                </c:pt>
                <c:pt idx="2">
                  <c:v>03 Browser</c:v>
                </c:pt>
                <c:pt idx="3">
                  <c:v>04 Advanced</c:v>
                </c:pt>
              </c:strCache>
            </c:strRef>
          </c:cat>
          <c:val>
            <c:numRef>
              <c:f>Dashboard!$D$14:$D$17</c:f>
              <c:numCache>
                <c:formatCode>General</c:formatCode>
                <c:ptCount val="4"/>
                <c:pt idx="0">
                  <c:v>2</c:v>
                </c:pt>
                <c:pt idx="1">
                  <c:v>2</c:v>
                </c:pt>
                <c:pt idx="2">
                  <c:v>0</c:v>
                </c:pt>
                <c:pt idx="3">
                  <c:v>0</c:v>
                </c:pt>
              </c:numCache>
            </c:numRef>
          </c:val>
          <c:extLst>
            <c:ext xmlns:c16="http://schemas.microsoft.com/office/drawing/2014/chart" uri="{C3380CC4-5D6E-409C-BE32-E72D297353CC}">
              <c16:uniqueId val="{00000001-1502-4927-9F97-81C2FF6AA4C7}"/>
            </c:ext>
          </c:extLst>
        </c:ser>
        <c:dLbls>
          <c:showLegendKey val="0"/>
          <c:showVal val="0"/>
          <c:showCatName val="0"/>
          <c:showSerName val="0"/>
          <c:showPercent val="0"/>
          <c:showBubbleSize val="0"/>
        </c:dLbls>
        <c:gapWidth val="150"/>
        <c:axId val="2145920074"/>
        <c:axId val="238486389"/>
      </c:barChart>
      <c:catAx>
        <c:axId val="2145920074"/>
        <c:scaling>
          <c:orientation val="minMax"/>
        </c:scaling>
        <c:delete val="0"/>
        <c:axPos val="b"/>
        <c:title>
          <c:tx>
            <c:rich>
              <a:bodyPr/>
              <a:lstStyle/>
              <a:p>
                <a:pPr lvl="0">
                  <a:defRPr b="0">
                    <a:solidFill>
                      <a:srgbClr val="000000"/>
                    </a:solidFill>
                    <a:latin typeface="+mn-lt"/>
                  </a:defRPr>
                </a:pPr>
                <a:endParaRPr lang="en-PH"/>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endParaRPr lang="en-US"/>
          </a:p>
        </c:txPr>
        <c:crossAx val="238486389"/>
        <c:crosses val="autoZero"/>
        <c:auto val="1"/>
        <c:lblAlgn val="ctr"/>
        <c:lblOffset val="100"/>
        <c:noMultiLvlLbl val="1"/>
      </c:catAx>
      <c:valAx>
        <c:axId val="23848638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PH"/>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endParaRPr lang="en-US"/>
          </a:p>
        </c:txPr>
        <c:crossAx val="2145920074"/>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0</xdr:colOff>
      <xdr:row>11</xdr:row>
      <xdr:rowOff>0</xdr:rowOff>
    </xdr:from>
    <xdr:ext cx="8001000" cy="337185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0</xdr:colOff>
      <xdr:row>27</xdr:row>
      <xdr:rowOff>0</xdr:rowOff>
    </xdr:from>
    <xdr:ext cx="8001000" cy="622935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cenariosTable" displayName="ScenariosTable" ref="A5:G24">
  <tableColumns count="7">
    <tableColumn id="1" xr3:uid="{00000000-0010-0000-0000-000001000000}" name="Scenario ID"/>
    <tableColumn id="2" xr3:uid="{00000000-0010-0000-0000-000002000000}" name="Practice area"/>
    <tableColumn id="3" xr3:uid="{00000000-0010-0000-0000-000003000000}" name="Level"/>
    <tableColumn id="4" xr3:uid="{00000000-0010-0000-0000-000004000000}" name="Scenario / coverage"/>
    <tableColumn id="5" xr3:uid="{00000000-0010-0000-0000-000005000000}" name="Source URL"/>
    <tableColumn id="6" xr3:uid="{00000000-0010-0000-0000-000006000000}" name="Phase"/>
    <tableColumn id="7" xr3:uid="{00000000-0010-0000-0000-000007000000}" name="Status"/>
  </tableColumns>
  <tableStyleInfo name="Test Scenari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asesByScenario" displayName="CasesByScenario" ref="A5:O24">
  <tableColumns count="15">
    <tableColumn id="1" xr3:uid="{00000000-0010-0000-0100-000001000000}" name="Scenario ID"/>
    <tableColumn id="2" xr3:uid="{00000000-0010-0000-0100-000002000000}" name="TC ID"/>
    <tableColumn id="3" xr3:uid="{00000000-0010-0000-0100-000003000000}" name="Scenario coverage"/>
    <tableColumn id="4" xr3:uid="{00000000-0010-0000-0100-000004000000}" name="Practice area"/>
    <tableColumn id="5" xr3:uid="{00000000-0010-0000-0100-000005000000}" name="Test case / objective"/>
    <tableColumn id="6" xr3:uid="{00000000-0010-0000-0100-000006000000}" name="Test steps"/>
    <tableColumn id="7" xr3:uid="{00000000-0010-0000-0100-000007000000}" name="Test data by step"/>
    <tableColumn id="8" xr3:uid="{00000000-0010-0000-0100-000008000000}" name="Expected result by step"/>
    <tableColumn id="9" xr3:uid="{00000000-0010-0000-0100-000009000000}" name="Type"/>
    <tableColumn id="10" xr3:uid="{00000000-0010-0000-0100-00000A000000}" name="Priority"/>
    <tableColumn id="11" xr3:uid="{00000000-0010-0000-0100-00000B000000}" name="Phase"/>
    <tableColumn id="12" xr3:uid="{00000000-0010-0000-0100-00000C000000}" name="Automation"/>
    <tableColumn id="13" xr3:uid="{00000000-0010-0000-0100-00000D000000}" name="Run status"/>
    <tableColumn id="14" xr3:uid="{00000000-0010-0000-0100-00000E000000}" name="Source URL"/>
    <tableColumn id="15" xr3:uid="{00000000-0010-0000-0100-00000F000000}" name="Step count"/>
  </tableColumns>
  <tableStyleInfo name="Test Cas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3A429"/>
  </sheetPr>
  <dimension ref="A1:N1000"/>
  <sheetViews>
    <sheetView showGridLines="0" tabSelected="1" workbookViewId="0">
      <pane ySplit="3" topLeftCell="A4" activePane="bottomLeft" state="frozen"/>
      <selection pane="bottomLeft" activeCell="E11" sqref="E11"/>
    </sheetView>
  </sheetViews>
  <sheetFormatPr defaultColWidth="12.625" defaultRowHeight="15" customHeight="1"/>
  <cols>
    <col min="1" max="1" width="3" customWidth="1"/>
    <col min="2" max="2" width="26" customWidth="1"/>
    <col min="3" max="3" width="18" customWidth="1"/>
    <col min="4" max="4" width="17" customWidth="1"/>
    <col min="5" max="6" width="18" customWidth="1"/>
    <col min="7" max="7" width="3" customWidth="1"/>
    <col min="8" max="14" width="15" customWidth="1"/>
    <col min="15" max="26" width="8.625" customWidth="1"/>
  </cols>
  <sheetData>
    <row r="1" spans="1:14" ht="27.75" customHeight="1">
      <c r="A1" s="9"/>
      <c r="B1" s="24" t="s">
        <v>160</v>
      </c>
      <c r="C1" s="19"/>
      <c r="D1" s="19"/>
      <c r="E1" s="19"/>
      <c r="F1" s="19"/>
      <c r="G1" s="19"/>
      <c r="H1" s="19"/>
      <c r="I1" s="19"/>
      <c r="J1" s="19"/>
      <c r="K1" s="19"/>
      <c r="L1" s="19"/>
      <c r="M1" s="19"/>
      <c r="N1" s="19"/>
    </row>
    <row r="2" spans="1:14" ht="27.75" customHeight="1">
      <c r="A2" s="9"/>
      <c r="B2" s="19"/>
      <c r="C2" s="19"/>
      <c r="D2" s="19"/>
      <c r="E2" s="19"/>
      <c r="F2" s="19"/>
      <c r="G2" s="19"/>
      <c r="H2" s="19"/>
      <c r="I2" s="19"/>
      <c r="J2" s="19"/>
      <c r="K2" s="19"/>
      <c r="L2" s="19"/>
      <c r="M2" s="19"/>
      <c r="N2" s="19"/>
    </row>
    <row r="3" spans="1:14" ht="27.75" customHeight="1">
      <c r="A3" s="9"/>
      <c r="B3" s="25" t="s">
        <v>161</v>
      </c>
      <c r="C3" s="19"/>
      <c r="D3" s="19"/>
      <c r="E3" s="19"/>
      <c r="F3" s="19"/>
      <c r="G3" s="19"/>
      <c r="H3" s="19"/>
      <c r="I3" s="19"/>
      <c r="J3" s="19"/>
      <c r="K3" s="19"/>
      <c r="L3" s="19"/>
      <c r="M3" s="19"/>
      <c r="N3" s="19"/>
    </row>
    <row r="4" spans="1:14">
      <c r="A4" s="9"/>
      <c r="B4" s="9"/>
      <c r="C4" s="9"/>
      <c r="D4" s="9"/>
      <c r="E4" s="9"/>
      <c r="F4" s="9"/>
      <c r="G4" s="9"/>
      <c r="H4" s="9"/>
      <c r="I4" s="9"/>
      <c r="J4" s="9"/>
      <c r="K4" s="9"/>
      <c r="L4" s="9"/>
      <c r="M4" s="9"/>
      <c r="N4" s="9"/>
    </row>
    <row r="5" spans="1:14">
      <c r="A5" s="9"/>
      <c r="B5" s="23" t="s">
        <v>163</v>
      </c>
      <c r="C5" s="19"/>
      <c r="D5" s="23" t="s">
        <v>164</v>
      </c>
      <c r="E5" s="19"/>
      <c r="F5" s="23" t="s">
        <v>165</v>
      </c>
      <c r="G5" s="19"/>
      <c r="H5" s="19"/>
      <c r="I5" s="23" t="s">
        <v>166</v>
      </c>
      <c r="J5" s="19"/>
      <c r="K5" s="23" t="s">
        <v>167</v>
      </c>
      <c r="L5" s="19"/>
      <c r="M5" s="23" t="s">
        <v>168</v>
      </c>
      <c r="N5" s="19"/>
    </row>
    <row r="6" spans="1:14">
      <c r="A6" s="9"/>
      <c r="B6" s="18">
        <f>COUNTA('Test Scenarios'!$A$6:$A$24)</f>
        <v>19</v>
      </c>
      <c r="C6" s="19"/>
      <c r="D6" s="18">
        <f>COUNTA('Test Cases'!$B$6:$B$24)</f>
        <v>19</v>
      </c>
      <c r="E6" s="19"/>
      <c r="F6" s="20">
        <f>IFERROR(COUNTIF('Test Cases'!$L$6:$L$23,"Automated")/D6,0)</f>
        <v>0.21052631578947367</v>
      </c>
      <c r="G6" s="19"/>
      <c r="H6" s="19"/>
      <c r="I6" s="18">
        <f>COUNTIFS('Test Cases'!$M$6:$M$23,"Pass")</f>
        <v>4</v>
      </c>
      <c r="J6" s="19"/>
      <c r="K6" s="18">
        <f>COUNTIFS('Test Cases'!$M$6:$M$23,"Fail")</f>
        <v>0</v>
      </c>
      <c r="L6" s="19"/>
      <c r="M6" s="20">
        <f>IFERROR((COUNTIF('Test Cases'!$M$6:$M$23,"Pass")+COUNTIF('Test Cases'!$M$6:$M$23,"Fail")+COUNTIF('Test Cases'!$M$6:$M$23,"Blocked"))/D6,0)</f>
        <v>0.21052631578947367</v>
      </c>
      <c r="N6" s="19"/>
    </row>
    <row r="7" spans="1:14">
      <c r="A7" s="9"/>
      <c r="B7" s="19"/>
      <c r="C7" s="19"/>
      <c r="D7" s="19"/>
      <c r="E7" s="19"/>
      <c r="F7" s="19"/>
      <c r="G7" s="19"/>
      <c r="H7" s="19"/>
      <c r="I7" s="19"/>
      <c r="J7" s="19"/>
      <c r="K7" s="19"/>
      <c r="L7" s="19"/>
      <c r="M7" s="19"/>
      <c r="N7" s="19"/>
    </row>
    <row r="8" spans="1:14">
      <c r="A8" s="9"/>
      <c r="B8" s="9"/>
      <c r="C8" s="9"/>
      <c r="D8" s="9"/>
      <c r="E8" s="9"/>
      <c r="F8" s="9"/>
      <c r="G8" s="9"/>
      <c r="H8" s="9"/>
      <c r="I8" s="9"/>
      <c r="J8" s="9"/>
      <c r="K8" s="9"/>
      <c r="L8" s="9"/>
      <c r="M8" s="9"/>
      <c r="N8" s="9"/>
    </row>
    <row r="9" spans="1:14" ht="36.75" customHeight="1">
      <c r="A9" s="9"/>
      <c r="B9" s="21" t="s">
        <v>179</v>
      </c>
      <c r="C9" s="19"/>
      <c r="D9" s="19"/>
      <c r="E9" s="19"/>
      <c r="F9" s="19"/>
      <c r="G9" s="19"/>
      <c r="H9" s="19"/>
      <c r="I9" s="19"/>
      <c r="J9" s="19"/>
      <c r="K9" s="19"/>
      <c r="L9" s="19"/>
      <c r="M9" s="19"/>
      <c r="N9" s="19"/>
    </row>
    <row r="10" spans="1:14">
      <c r="A10" s="9"/>
      <c r="B10" s="9"/>
      <c r="C10" s="9"/>
      <c r="D10" s="9"/>
      <c r="E10" s="9"/>
      <c r="F10" s="9"/>
      <c r="G10" s="9"/>
      <c r="H10" s="9"/>
      <c r="I10" s="9"/>
      <c r="J10" s="9"/>
      <c r="K10" s="9"/>
      <c r="L10" s="9"/>
      <c r="M10" s="9"/>
      <c r="N10" s="9"/>
    </row>
    <row r="11" spans="1:14">
      <c r="A11" s="9"/>
      <c r="B11" s="9"/>
      <c r="C11" s="9"/>
      <c r="D11" s="9"/>
      <c r="E11" s="9"/>
      <c r="F11" s="9"/>
      <c r="G11" s="9"/>
      <c r="H11" s="9"/>
      <c r="I11" s="9"/>
      <c r="J11" s="9"/>
      <c r="K11" s="9"/>
      <c r="L11" s="9"/>
      <c r="M11" s="9"/>
      <c r="N11" s="9"/>
    </row>
    <row r="12" spans="1:14">
      <c r="A12" s="9"/>
      <c r="B12" s="22" t="s">
        <v>181</v>
      </c>
      <c r="C12" s="19"/>
      <c r="D12" s="19"/>
      <c r="E12" s="19"/>
      <c r="F12" s="19"/>
      <c r="G12" s="9"/>
      <c r="H12" s="9"/>
      <c r="I12" s="9"/>
      <c r="J12" s="9"/>
      <c r="K12" s="9"/>
      <c r="L12" s="9"/>
      <c r="M12" s="9"/>
      <c r="N12" s="9"/>
    </row>
    <row r="13" spans="1:14">
      <c r="A13" s="9"/>
      <c r="B13" s="10" t="s">
        <v>11</v>
      </c>
      <c r="C13" s="10" t="s">
        <v>184</v>
      </c>
      <c r="D13" s="10" t="s">
        <v>53</v>
      </c>
      <c r="E13" s="10" t="s">
        <v>185</v>
      </c>
      <c r="F13" s="10" t="s">
        <v>186</v>
      </c>
      <c r="G13" s="9"/>
      <c r="H13" s="9"/>
      <c r="I13" s="9"/>
      <c r="J13" s="9"/>
      <c r="K13" s="9"/>
      <c r="L13" s="9"/>
      <c r="M13" s="9"/>
      <c r="N13" s="9"/>
    </row>
    <row r="14" spans="1:14" ht="27" customHeight="1">
      <c r="A14" s="9"/>
      <c r="B14" s="11" t="s">
        <v>23</v>
      </c>
      <c r="C14" s="11">
        <f>COUNTIFS('Test Cases'!$K$6:$K$23,B14)</f>
        <v>5</v>
      </c>
      <c r="D14" s="11">
        <f>COUNTIFS('Test Cases'!$K$6:$K$23,B14,'Test Cases'!$L$6:$L$23,"Automated")</f>
        <v>2</v>
      </c>
      <c r="E14" s="11">
        <f>COUNTIFS('Test Cases'!$K$6:$K$23,B14,'Test Cases'!$M$6:$M$23,"Pass")</f>
        <v>2</v>
      </c>
      <c r="F14" s="12">
        <f t="shared" ref="F14:F17" si="0">IFERROR(D14/C14,0)</f>
        <v>0.4</v>
      </c>
      <c r="G14" s="9"/>
      <c r="H14" s="9"/>
      <c r="I14" s="9"/>
      <c r="J14" s="9"/>
      <c r="K14" s="9"/>
      <c r="L14" s="9"/>
      <c r="M14" s="9"/>
      <c r="N14" s="9"/>
    </row>
    <row r="15" spans="1:14" ht="27" customHeight="1">
      <c r="A15" s="9"/>
      <c r="B15" s="11" t="s">
        <v>40</v>
      </c>
      <c r="C15" s="11">
        <f>COUNTIFS('Test Cases'!$K$6:$K$23,B15)</f>
        <v>5</v>
      </c>
      <c r="D15" s="11">
        <f>COUNTIFS('Test Cases'!$K$6:$K$23,B15,'Test Cases'!$L$6:$L$23,"Automated")</f>
        <v>2</v>
      </c>
      <c r="E15" s="11">
        <f>COUNTIFS('Test Cases'!$K$6:$K$23,B15,'Test Cases'!$M$6:$M$23,"Pass")</f>
        <v>2</v>
      </c>
      <c r="F15" s="12">
        <f t="shared" si="0"/>
        <v>0.4</v>
      </c>
      <c r="G15" s="9"/>
      <c r="H15" s="9"/>
      <c r="I15" s="9"/>
      <c r="J15" s="9"/>
      <c r="K15" s="9"/>
      <c r="L15" s="9"/>
      <c r="M15" s="9"/>
      <c r="N15" s="9"/>
    </row>
    <row r="16" spans="1:14" ht="27" customHeight="1">
      <c r="A16" s="9"/>
      <c r="B16" s="11" t="s">
        <v>84</v>
      </c>
      <c r="C16" s="11">
        <f>COUNTIFS('Test Cases'!$K$6:$K$23,B16)</f>
        <v>4</v>
      </c>
      <c r="D16" s="11">
        <f>COUNTIFS('Test Cases'!$K$6:$K$23,B16,'Test Cases'!$L$6:$L$23,"Automated")</f>
        <v>0</v>
      </c>
      <c r="E16" s="11">
        <f>COUNTIFS('Test Cases'!$K$6:$K$23,B16,'Test Cases'!$M$6:$M$23,"Pass")</f>
        <v>0</v>
      </c>
      <c r="F16" s="12">
        <f t="shared" si="0"/>
        <v>0</v>
      </c>
      <c r="G16" s="9"/>
      <c r="H16" s="9"/>
      <c r="I16" s="9"/>
      <c r="J16" s="9"/>
      <c r="K16" s="9"/>
      <c r="L16" s="9"/>
      <c r="M16" s="9"/>
      <c r="N16" s="9"/>
    </row>
    <row r="17" spans="1:14" ht="27" customHeight="1">
      <c r="A17" s="9"/>
      <c r="B17" s="11" t="s">
        <v>107</v>
      </c>
      <c r="C17" s="11">
        <f>COUNTIFS('Test Cases'!$K$6:$K$23,B17)</f>
        <v>4</v>
      </c>
      <c r="D17" s="11">
        <f>COUNTIFS('Test Cases'!$K$6:$K$23,B17,'Test Cases'!$L$6:$L$23,"Automated")</f>
        <v>0</v>
      </c>
      <c r="E17" s="11">
        <f>COUNTIFS('Test Cases'!$K$6:$K$23,B17,'Test Cases'!$M$6:$M$23,"Pass")</f>
        <v>0</v>
      </c>
      <c r="F17" s="12">
        <f t="shared" si="0"/>
        <v>0</v>
      </c>
      <c r="G17" s="9"/>
      <c r="H17" s="9"/>
      <c r="I17" s="9"/>
      <c r="J17" s="9"/>
      <c r="K17" s="9"/>
      <c r="L17" s="9"/>
      <c r="M17" s="9"/>
      <c r="N17" s="9"/>
    </row>
    <row r="18" spans="1:14">
      <c r="A18" s="9"/>
      <c r="B18" s="9"/>
      <c r="C18" s="9"/>
      <c r="D18" s="9"/>
      <c r="E18" s="9"/>
      <c r="F18" s="9"/>
      <c r="G18" s="9"/>
      <c r="H18" s="9"/>
      <c r="I18" s="9"/>
      <c r="J18" s="9"/>
      <c r="K18" s="9"/>
      <c r="L18" s="9"/>
      <c r="M18" s="9"/>
      <c r="N18" s="9"/>
    </row>
    <row r="19" spans="1:14">
      <c r="A19" s="9"/>
      <c r="B19" s="9"/>
      <c r="C19" s="9"/>
      <c r="D19" s="9"/>
      <c r="E19" s="9"/>
      <c r="F19" s="9"/>
      <c r="G19" s="9"/>
      <c r="H19" s="9"/>
      <c r="I19" s="9"/>
      <c r="J19" s="9"/>
      <c r="K19" s="9"/>
      <c r="L19" s="9"/>
      <c r="M19" s="9"/>
      <c r="N19" s="9"/>
    </row>
    <row r="20" spans="1:14">
      <c r="A20" s="9"/>
      <c r="B20" s="22" t="s">
        <v>196</v>
      </c>
      <c r="C20" s="19"/>
      <c r="D20" s="19"/>
      <c r="E20" s="19"/>
      <c r="F20" s="19"/>
      <c r="G20" s="9"/>
      <c r="H20" s="9"/>
      <c r="I20" s="9"/>
      <c r="J20" s="9"/>
      <c r="K20" s="9"/>
      <c r="L20" s="9"/>
      <c r="M20" s="9"/>
      <c r="N20" s="9"/>
    </row>
    <row r="21" spans="1:14" ht="15.75" customHeight="1">
      <c r="A21" s="9"/>
      <c r="B21" s="13" t="s">
        <v>198</v>
      </c>
      <c r="C21" s="13" t="s">
        <v>199</v>
      </c>
      <c r="D21" s="9"/>
      <c r="E21" s="13" t="s">
        <v>26</v>
      </c>
      <c r="F21" s="13" t="s">
        <v>199</v>
      </c>
      <c r="G21" s="9"/>
      <c r="H21" s="9"/>
      <c r="I21" s="9"/>
      <c r="J21" s="9"/>
      <c r="K21" s="9"/>
      <c r="L21" s="9"/>
      <c r="M21" s="9"/>
      <c r="N21" s="9"/>
    </row>
    <row r="22" spans="1:14" ht="15.75" customHeight="1">
      <c r="A22" s="9"/>
      <c r="B22" s="11" t="s">
        <v>79</v>
      </c>
      <c r="C22" s="11">
        <f>COUNTIFS('Test Cases'!$L$6:$L$24,B22)</f>
        <v>14</v>
      </c>
      <c r="D22" s="9"/>
      <c r="E22" s="11" t="s">
        <v>82</v>
      </c>
      <c r="F22" s="11">
        <f>COUNTIFS('Test Cases'!$M$6:$M$23,E22)</f>
        <v>14</v>
      </c>
      <c r="G22" s="9"/>
      <c r="H22" s="9"/>
      <c r="I22" s="9"/>
      <c r="J22" s="9"/>
      <c r="K22" s="9"/>
      <c r="L22" s="9"/>
      <c r="M22" s="9"/>
      <c r="N22" s="9"/>
    </row>
    <row r="23" spans="1:14" ht="15.75" customHeight="1">
      <c r="A23" s="9"/>
      <c r="B23" s="11" t="s">
        <v>201</v>
      </c>
      <c r="C23" s="11">
        <f>COUNTIFS('Test Cases'!$L$6:$L$23,B23)</f>
        <v>0</v>
      </c>
      <c r="D23" s="9"/>
      <c r="E23" s="11" t="s">
        <v>56</v>
      </c>
      <c r="F23" s="11">
        <f>COUNTIFS('Test Cases'!$M$6:$M$23,E23)</f>
        <v>4</v>
      </c>
      <c r="G23" s="9"/>
      <c r="H23" s="9"/>
      <c r="I23" s="9"/>
      <c r="J23" s="9"/>
      <c r="K23" s="9"/>
      <c r="L23" s="9"/>
      <c r="M23" s="9"/>
      <c r="N23" s="9"/>
    </row>
    <row r="24" spans="1:14" ht="15.75" customHeight="1">
      <c r="A24" s="9"/>
      <c r="B24" s="11" t="s">
        <v>53</v>
      </c>
      <c r="C24" s="11">
        <f>COUNTIFS('Test Cases'!$L$6:$L$23,B24)</f>
        <v>4</v>
      </c>
      <c r="D24" s="9"/>
      <c r="E24" s="11" t="s">
        <v>203</v>
      </c>
      <c r="F24" s="11">
        <f>COUNTIFS('Test Cases'!$M$6:$M$23,E24)</f>
        <v>0</v>
      </c>
      <c r="G24" s="9"/>
      <c r="H24" s="9"/>
      <c r="I24" s="9"/>
      <c r="J24" s="9"/>
      <c r="K24" s="9"/>
      <c r="L24" s="9"/>
      <c r="M24" s="9"/>
      <c r="N24" s="9"/>
    </row>
    <row r="25" spans="1:14" ht="15.75" customHeight="1">
      <c r="A25" s="9"/>
      <c r="B25" s="11" t="s">
        <v>204</v>
      </c>
      <c r="C25" s="11">
        <f>COUNTIFS('Test Cases'!$L$6:$L$23,B25)</f>
        <v>0</v>
      </c>
      <c r="D25" s="9"/>
      <c r="E25" s="11" t="s">
        <v>206</v>
      </c>
      <c r="F25" s="11">
        <f>COUNTIFS('Test Cases'!$M$6:$M$23,E25)</f>
        <v>0</v>
      </c>
      <c r="G25" s="9"/>
      <c r="H25" s="9"/>
      <c r="I25" s="9"/>
      <c r="J25" s="9"/>
      <c r="K25" s="9"/>
      <c r="L25" s="9"/>
      <c r="M25" s="9"/>
      <c r="N25" s="9"/>
    </row>
    <row r="26" spans="1:14" ht="15.75" customHeight="1">
      <c r="A26" s="9"/>
      <c r="B26" s="9"/>
      <c r="C26" s="9"/>
      <c r="D26" s="9"/>
      <c r="E26" s="9"/>
      <c r="F26" s="9"/>
      <c r="G26" s="9"/>
      <c r="H26" s="9"/>
      <c r="I26" s="9"/>
      <c r="J26" s="9"/>
      <c r="K26" s="9"/>
      <c r="L26" s="9"/>
      <c r="M26" s="9"/>
      <c r="N26" s="9"/>
    </row>
    <row r="27" spans="1:14" ht="15.75" customHeight="1">
      <c r="A27" s="9"/>
      <c r="B27" s="9"/>
      <c r="C27" s="9"/>
      <c r="D27" s="9"/>
      <c r="E27" s="9"/>
      <c r="F27" s="9"/>
      <c r="G27" s="9"/>
      <c r="H27" s="9"/>
      <c r="I27" s="9"/>
      <c r="J27" s="9"/>
      <c r="K27" s="9"/>
      <c r="L27" s="9"/>
      <c r="M27" s="9"/>
      <c r="N27" s="9"/>
    </row>
    <row r="28" spans="1:14" ht="15.75" customHeight="1">
      <c r="A28" s="9"/>
      <c r="B28" s="22" t="s">
        <v>210</v>
      </c>
      <c r="C28" s="19"/>
      <c r="D28" s="19"/>
      <c r="E28" s="19"/>
      <c r="F28" s="19"/>
      <c r="G28" s="9"/>
      <c r="H28" s="9"/>
      <c r="I28" s="9"/>
      <c r="J28" s="9"/>
      <c r="K28" s="9"/>
      <c r="L28" s="9"/>
      <c r="M28" s="9"/>
      <c r="N28" s="9"/>
    </row>
    <row r="29" spans="1:14" ht="15.75" customHeight="1">
      <c r="A29" s="9"/>
      <c r="B29" s="13" t="s">
        <v>211</v>
      </c>
      <c r="C29" s="13" t="s">
        <v>184</v>
      </c>
      <c r="D29" s="13" t="s">
        <v>53</v>
      </c>
      <c r="E29" s="13" t="s">
        <v>185</v>
      </c>
      <c r="F29" s="13" t="s">
        <v>186</v>
      </c>
      <c r="G29" s="9"/>
      <c r="H29" s="9"/>
      <c r="I29" s="9"/>
      <c r="J29" s="9"/>
      <c r="K29" s="9"/>
      <c r="L29" s="9"/>
      <c r="M29" s="9"/>
      <c r="N29" s="9"/>
    </row>
    <row r="30" spans="1:14" ht="25.5" customHeight="1">
      <c r="A30" s="9"/>
      <c r="B30" s="14" t="str">
        <f>'Test Scenarios'!B6</f>
        <v>Input Fields</v>
      </c>
      <c r="C30" s="14">
        <f>COUNTIFS('Test Cases'!$D$6:$D$23,B30)</f>
        <v>1</v>
      </c>
      <c r="D30" s="14">
        <f>COUNTIFS('Test Cases'!$D$6:$D$23,B30,'Test Cases'!$L$6:$L$23,"Automated")</f>
        <v>1</v>
      </c>
      <c r="E30" s="14">
        <f>COUNTIFS('Test Cases'!$D$6:$D$23,B30,'Test Cases'!$M$6:$M$23,"Pass")</f>
        <v>1</v>
      </c>
      <c r="F30" s="15">
        <f t="shared" ref="F30:F47" si="1">IFERROR(D30/C30,0)</f>
        <v>1</v>
      </c>
      <c r="G30" s="9"/>
      <c r="H30" s="9"/>
      <c r="I30" s="9"/>
      <c r="J30" s="9"/>
      <c r="K30" s="9"/>
      <c r="L30" s="9"/>
      <c r="M30" s="9"/>
      <c r="N30" s="9"/>
    </row>
    <row r="31" spans="1:14" ht="25.5" customHeight="1">
      <c r="A31" s="9"/>
      <c r="B31" s="14" t="str">
        <f>'Test Scenarios'!B7</f>
        <v>Buttons</v>
      </c>
      <c r="C31" s="14">
        <f>COUNTIFS('Test Cases'!$D$6:$D$23,B31)</f>
        <v>1</v>
      </c>
      <c r="D31" s="14">
        <f>COUNTIFS('Test Cases'!$D$6:$D$23,B31,'Test Cases'!$L$6:$L$23,"Automated")</f>
        <v>1</v>
      </c>
      <c r="E31" s="14">
        <f>COUNTIFS('Test Cases'!$D$6:$D$23,B31,'Test Cases'!$M$6:$M$23,"Pass")</f>
        <v>1</v>
      </c>
      <c r="F31" s="15">
        <f t="shared" si="1"/>
        <v>1</v>
      </c>
      <c r="G31" s="9"/>
      <c r="H31" s="9"/>
      <c r="I31" s="9"/>
      <c r="J31" s="9"/>
      <c r="K31" s="9"/>
      <c r="L31" s="9"/>
      <c r="M31" s="9"/>
      <c r="N31" s="9"/>
    </row>
    <row r="32" spans="1:14" ht="25.5" customHeight="1">
      <c r="A32" s="9"/>
      <c r="B32" s="14" t="str">
        <f>'Test Scenarios'!B8</f>
        <v>Forms</v>
      </c>
      <c r="C32" s="14">
        <f>COUNTIFS('Test Cases'!$D$6:$D$23,B32)</f>
        <v>1</v>
      </c>
      <c r="D32" s="14">
        <f>COUNTIFS('Test Cases'!$D$6:$D$23,B32,'Test Cases'!$L$6:$L$23,"Automated")</f>
        <v>1</v>
      </c>
      <c r="E32" s="14">
        <f>COUNTIFS('Test Cases'!$D$6:$D$23,B32,'Test Cases'!$M$6:$M$23,"Pass")</f>
        <v>1</v>
      </c>
      <c r="F32" s="15">
        <f t="shared" si="1"/>
        <v>1</v>
      </c>
      <c r="G32" s="9"/>
      <c r="H32" s="9"/>
      <c r="I32" s="9"/>
      <c r="J32" s="9"/>
      <c r="K32" s="9"/>
      <c r="L32" s="9"/>
      <c r="M32" s="9"/>
      <c r="N32" s="9"/>
    </row>
    <row r="33" spans="1:14" ht="25.5" customHeight="1">
      <c r="A33" s="9"/>
      <c r="B33" s="14" t="str">
        <f>'Test Scenarios'!B9</f>
        <v>Dropdowns</v>
      </c>
      <c r="C33" s="14">
        <f>COUNTIFS('Test Cases'!$D$6:$D$23,B33)</f>
        <v>1</v>
      </c>
      <c r="D33" s="14">
        <f>COUNTIFS('Test Cases'!$D$6:$D$23,B33,'Test Cases'!$L$6:$L$23,"Automated")</f>
        <v>1</v>
      </c>
      <c r="E33" s="14">
        <f>COUNTIFS('Test Cases'!$D$6:$D$23,B33,'Test Cases'!$M$6:$M$23,"Pass")</f>
        <v>1</v>
      </c>
      <c r="F33" s="15">
        <f t="shared" si="1"/>
        <v>1</v>
      </c>
      <c r="G33" s="9"/>
      <c r="H33" s="9"/>
      <c r="I33" s="9"/>
      <c r="J33" s="9"/>
      <c r="K33" s="9"/>
      <c r="L33" s="9"/>
      <c r="M33" s="9"/>
      <c r="N33" s="9"/>
    </row>
    <row r="34" spans="1:14" ht="25.5" customHeight="1">
      <c r="A34" s="9"/>
      <c r="B34" s="14" t="str">
        <f>'Test Scenarios'!B10</f>
        <v>Data Table</v>
      </c>
      <c r="C34" s="14">
        <f>COUNTIFS('Test Cases'!$D$6:$D$23,B34)</f>
        <v>1</v>
      </c>
      <c r="D34" s="14">
        <f>COUNTIFS('Test Cases'!$D$6:$D$23,B34,'Test Cases'!$L$6:$L$23,"Automated")</f>
        <v>0</v>
      </c>
      <c r="E34" s="14">
        <f>COUNTIFS('Test Cases'!$D$6:$D$23,B34,'Test Cases'!$M$6:$M$23,"Pass")</f>
        <v>0</v>
      </c>
      <c r="F34" s="15">
        <f t="shared" si="1"/>
        <v>0</v>
      </c>
      <c r="G34" s="9"/>
      <c r="H34" s="9"/>
      <c r="I34" s="9"/>
      <c r="J34" s="9"/>
      <c r="K34" s="9"/>
      <c r="L34" s="9"/>
      <c r="M34" s="9"/>
      <c r="N34" s="9"/>
    </row>
    <row r="35" spans="1:14" ht="25.5" customHeight="1">
      <c r="A35" s="9"/>
      <c r="B35" s="14" t="str">
        <f>'Test Scenarios'!B11</f>
        <v>Alerts &amp; Dialogs</v>
      </c>
      <c r="C35" s="14">
        <f>COUNTIFS('Test Cases'!$D$6:$D$23,B35)</f>
        <v>1</v>
      </c>
      <c r="D35" s="14">
        <f>COUNTIFS('Test Cases'!$D$6:$D$23,B35,'Test Cases'!$L$6:$L$23,"Automated")</f>
        <v>0</v>
      </c>
      <c r="E35" s="14">
        <f>COUNTIFS('Test Cases'!$D$6:$D$23,B35,'Test Cases'!$M$6:$M$23,"Pass")</f>
        <v>0</v>
      </c>
      <c r="F35" s="15">
        <f t="shared" si="1"/>
        <v>0</v>
      </c>
      <c r="G35" s="9"/>
      <c r="H35" s="9"/>
      <c r="I35" s="9"/>
      <c r="J35" s="9"/>
      <c r="K35" s="9"/>
      <c r="L35" s="9"/>
      <c r="M35" s="9"/>
      <c r="N35" s="9"/>
    </row>
    <row r="36" spans="1:14" ht="25.5" customHeight="1">
      <c r="A36" s="9"/>
      <c r="B36" s="14" t="str">
        <f>'Test Scenarios'!B12</f>
        <v>Radio &amp; Checkbox</v>
      </c>
      <c r="C36" s="14">
        <f>COUNTIFS('Test Cases'!$D$6:$D$23,B36)</f>
        <v>1</v>
      </c>
      <c r="D36" s="14">
        <f>COUNTIFS('Test Cases'!$D$6:$D$23,B36,'Test Cases'!$L$6:$L$23,"Automated")</f>
        <v>0</v>
      </c>
      <c r="E36" s="14">
        <f>COUNTIFS('Test Cases'!$D$6:$D$23,B36,'Test Cases'!$M$6:$M$23,"Pass")</f>
        <v>0</v>
      </c>
      <c r="F36" s="15">
        <f t="shared" si="1"/>
        <v>0</v>
      </c>
      <c r="G36" s="9"/>
      <c r="H36" s="9"/>
      <c r="I36" s="9"/>
      <c r="J36" s="9"/>
      <c r="K36" s="9"/>
      <c r="L36" s="9"/>
      <c r="M36" s="9"/>
      <c r="N36" s="9"/>
    </row>
    <row r="37" spans="1:14" ht="25.5" customHeight="1">
      <c r="A37" s="9"/>
      <c r="B37" s="14" t="str">
        <f>'Test Scenarios'!B13</f>
        <v>Date Picker</v>
      </c>
      <c r="C37" s="14">
        <f>COUNTIFS('Test Cases'!$D$6:$D$23,B37)</f>
        <v>1</v>
      </c>
      <c r="D37" s="14">
        <f>COUNTIFS('Test Cases'!$D$6:$D$23,B37,'Test Cases'!$L$6:$L$23,"Automated")</f>
        <v>0</v>
      </c>
      <c r="E37" s="14">
        <f>COUNTIFS('Test Cases'!$D$6:$D$23,B37,'Test Cases'!$M$6:$M$23,"Pass")</f>
        <v>0</v>
      </c>
      <c r="F37" s="15">
        <f t="shared" si="1"/>
        <v>0</v>
      </c>
      <c r="G37" s="9"/>
      <c r="H37" s="9"/>
      <c r="I37" s="9"/>
      <c r="J37" s="9"/>
      <c r="K37" s="9"/>
      <c r="L37" s="9"/>
      <c r="M37" s="9"/>
      <c r="N37" s="9"/>
    </row>
    <row r="38" spans="1:14" ht="25.5" customHeight="1">
      <c r="A38" s="9"/>
      <c r="B38" s="14" t="str">
        <f>'Test Scenarios'!B14</f>
        <v>Links</v>
      </c>
      <c r="C38" s="14">
        <f>COUNTIFS('Test Cases'!$D$6:$D$23,B38)</f>
        <v>1</v>
      </c>
      <c r="D38" s="14">
        <f>COUNTIFS('Test Cases'!$D$6:$D$23,B38,'Test Cases'!$L$6:$L$23,"Automated")</f>
        <v>0</v>
      </c>
      <c r="E38" s="14">
        <f>COUNTIFS('Test Cases'!$D$6:$D$23,B38,'Test Cases'!$M$6:$M$23,"Pass")</f>
        <v>0</v>
      </c>
      <c r="F38" s="15">
        <f t="shared" si="1"/>
        <v>0</v>
      </c>
      <c r="G38" s="9"/>
      <c r="H38" s="9"/>
      <c r="I38" s="9"/>
      <c r="J38" s="9"/>
      <c r="K38" s="9"/>
      <c r="L38" s="9"/>
      <c r="M38" s="9"/>
      <c r="N38" s="9"/>
    </row>
    <row r="39" spans="1:14" ht="25.5" customHeight="1">
      <c r="A39" s="9"/>
      <c r="B39" s="14" t="str">
        <f>'Test Scenarios'!B15</f>
        <v>Tabs &amp; Windows</v>
      </c>
      <c r="C39" s="14">
        <f>COUNTIFS('Test Cases'!$D$6:$D$23,B39)</f>
        <v>1</v>
      </c>
      <c r="D39" s="14">
        <f>COUNTIFS('Test Cases'!$D$6:$D$23,B39,'Test Cases'!$L$6:$L$23,"Automated")</f>
        <v>0</v>
      </c>
      <c r="E39" s="14">
        <f>COUNTIFS('Test Cases'!$D$6:$D$23,B39,'Test Cases'!$M$6:$M$23,"Pass")</f>
        <v>0</v>
      </c>
      <c r="F39" s="15">
        <f t="shared" si="1"/>
        <v>0</v>
      </c>
      <c r="G39" s="9"/>
      <c r="H39" s="9"/>
      <c r="I39" s="9"/>
      <c r="J39" s="9"/>
      <c r="K39" s="9"/>
      <c r="L39" s="9"/>
      <c r="M39" s="9"/>
      <c r="N39" s="9"/>
    </row>
    <row r="40" spans="1:14" ht="25.5" customHeight="1">
      <c r="A40" s="9"/>
      <c r="B40" s="14" t="str">
        <f>'Test Scenarios'!B16</f>
        <v>Dynamic Waits</v>
      </c>
      <c r="C40" s="14">
        <f>COUNTIFS('Test Cases'!$D$6:$D$23,B40)</f>
        <v>1</v>
      </c>
      <c r="D40" s="14">
        <f>COUNTIFS('Test Cases'!$D$6:$D$23,B40,'Test Cases'!$L$6:$L$23,"Automated")</f>
        <v>0</v>
      </c>
      <c r="E40" s="14">
        <f>COUNTIFS('Test Cases'!$D$6:$D$23,B40,'Test Cases'!$M$6:$M$23,"Pass")</f>
        <v>0</v>
      </c>
      <c r="F40" s="15">
        <f t="shared" si="1"/>
        <v>0</v>
      </c>
      <c r="G40" s="9"/>
      <c r="H40" s="9"/>
      <c r="I40" s="9"/>
      <c r="J40" s="9"/>
      <c r="K40" s="9"/>
      <c r="L40" s="9"/>
      <c r="M40" s="9"/>
      <c r="N40" s="9"/>
    </row>
    <row r="41" spans="1:14" ht="25.5" customHeight="1">
      <c r="A41" s="9"/>
      <c r="B41" s="14" t="str">
        <f>'Test Scenarios'!B17</f>
        <v>Multi Select</v>
      </c>
      <c r="C41" s="14">
        <f>COUNTIFS('Test Cases'!$D$6:$D$23,B41)</f>
        <v>1</v>
      </c>
      <c r="D41" s="14">
        <f>COUNTIFS('Test Cases'!$D$6:$D$23,B41,'Test Cases'!$L$6:$L$23,"Automated")</f>
        <v>0</v>
      </c>
      <c r="E41" s="14">
        <f>COUNTIFS('Test Cases'!$D$6:$D$23,B41,'Test Cases'!$M$6:$M$23,"Pass")</f>
        <v>0</v>
      </c>
      <c r="F41" s="15">
        <f t="shared" si="1"/>
        <v>0</v>
      </c>
      <c r="G41" s="9"/>
      <c r="H41" s="9"/>
      <c r="I41" s="9"/>
      <c r="J41" s="9"/>
      <c r="K41" s="9"/>
      <c r="L41" s="9"/>
      <c r="M41" s="9"/>
      <c r="N41" s="9"/>
    </row>
    <row r="42" spans="1:14" ht="25.5" customHeight="1">
      <c r="A42" s="9"/>
      <c r="B42" s="14" t="str">
        <f>'Test Scenarios'!B18</f>
        <v>File Upload</v>
      </c>
      <c r="C42" s="14">
        <f>COUNTIFS('Test Cases'!$D$6:$D$23,B42)</f>
        <v>1</v>
      </c>
      <c r="D42" s="14">
        <f>COUNTIFS('Test Cases'!$D$6:$D$23,B42,'Test Cases'!$L$6:$L$23,"Automated")</f>
        <v>0</v>
      </c>
      <c r="E42" s="14">
        <f>COUNTIFS('Test Cases'!$D$6:$D$23,B42,'Test Cases'!$M$6:$M$23,"Pass")</f>
        <v>0</v>
      </c>
      <c r="F42" s="15">
        <f t="shared" si="1"/>
        <v>0</v>
      </c>
      <c r="G42" s="9"/>
      <c r="H42" s="9"/>
      <c r="I42" s="9"/>
      <c r="J42" s="9"/>
      <c r="K42" s="9"/>
      <c r="L42" s="9"/>
      <c r="M42" s="9"/>
      <c r="N42" s="9"/>
    </row>
    <row r="43" spans="1:14" ht="25.5" customHeight="1">
      <c r="A43" s="9"/>
      <c r="B43" s="14" t="str">
        <f>'Test Scenarios'!B19</f>
        <v>Drag &amp; Drop</v>
      </c>
      <c r="C43" s="14">
        <f>COUNTIFS('Test Cases'!$D$6:$D$23,B43)</f>
        <v>1</v>
      </c>
      <c r="D43" s="14">
        <f>COUNTIFS('Test Cases'!$D$6:$D$23,B43,'Test Cases'!$L$6:$L$23,"Automated")</f>
        <v>0</v>
      </c>
      <c r="E43" s="14">
        <f>COUNTIFS('Test Cases'!$D$6:$D$23,B43,'Test Cases'!$M$6:$M$23,"Pass")</f>
        <v>0</v>
      </c>
      <c r="F43" s="15">
        <f t="shared" si="1"/>
        <v>0</v>
      </c>
      <c r="G43" s="9"/>
      <c r="H43" s="9"/>
      <c r="I43" s="9"/>
      <c r="J43" s="9"/>
      <c r="K43" s="9"/>
      <c r="L43" s="9"/>
      <c r="M43" s="9"/>
      <c r="N43" s="9"/>
    </row>
    <row r="44" spans="1:14" ht="25.5" customHeight="1">
      <c r="A44" s="9"/>
      <c r="B44" s="14" t="str">
        <f>'Test Scenarios'!B20</f>
        <v>iFrames</v>
      </c>
      <c r="C44" s="14">
        <f>COUNTIFS('Test Cases'!$D$6:$D$23,B44)</f>
        <v>1</v>
      </c>
      <c r="D44" s="14">
        <f>COUNTIFS('Test Cases'!$D$6:$D$23,B44,'Test Cases'!$L$6:$L$23,"Automated")</f>
        <v>0</v>
      </c>
      <c r="E44" s="14">
        <f>COUNTIFS('Test Cases'!$D$6:$D$23,B44,'Test Cases'!$M$6:$M$23,"Pass")</f>
        <v>0</v>
      </c>
      <c r="F44" s="15">
        <f t="shared" si="1"/>
        <v>0</v>
      </c>
      <c r="G44" s="9"/>
      <c r="H44" s="9"/>
      <c r="I44" s="9"/>
      <c r="J44" s="9"/>
      <c r="K44" s="9"/>
      <c r="L44" s="9"/>
      <c r="M44" s="9"/>
      <c r="N44" s="9"/>
    </row>
    <row r="45" spans="1:14" ht="25.5" customHeight="1">
      <c r="A45" s="9"/>
      <c r="B45" s="14" t="str">
        <f>'Test Scenarios'!B21</f>
        <v>Shadow DOM</v>
      </c>
      <c r="C45" s="14">
        <f>COUNTIFS('Test Cases'!$D$6:$D$23,B45)</f>
        <v>1</v>
      </c>
      <c r="D45" s="14">
        <f>COUNTIFS('Test Cases'!$D$6:$D$23,B45,'Test Cases'!$L$6:$L$23,"Automated")</f>
        <v>0</v>
      </c>
      <c r="E45" s="14">
        <f>COUNTIFS('Test Cases'!$D$6:$D$23,B45,'Test Cases'!$M$6:$M$23,"Pass")</f>
        <v>0</v>
      </c>
      <c r="F45" s="15">
        <f t="shared" si="1"/>
        <v>0</v>
      </c>
      <c r="G45" s="9"/>
      <c r="H45" s="9"/>
      <c r="I45" s="9"/>
      <c r="J45" s="9"/>
      <c r="K45" s="9"/>
      <c r="L45" s="9"/>
      <c r="M45" s="9"/>
      <c r="N45" s="9"/>
    </row>
    <row r="46" spans="1:14" ht="25.5" customHeight="1">
      <c r="A46" s="9"/>
      <c r="B46" s="14" t="str">
        <f>'Test Scenarios'!B22</f>
        <v>Modal Windows</v>
      </c>
      <c r="C46" s="14">
        <f>COUNTIFS('Test Cases'!$D$6:$D$23,B46)</f>
        <v>1</v>
      </c>
      <c r="D46" s="14">
        <f>COUNTIFS('Test Cases'!$D$6:$D$23,B46,'Test Cases'!$L$6:$L$23,"Automated")</f>
        <v>0</v>
      </c>
      <c r="E46" s="14">
        <f>COUNTIFS('Test Cases'!$D$6:$D$23,B46,'Test Cases'!$M$6:$M$23,"Pass")</f>
        <v>0</v>
      </c>
      <c r="F46" s="15">
        <f t="shared" si="1"/>
        <v>0</v>
      </c>
      <c r="G46" s="9"/>
      <c r="H46" s="9"/>
      <c r="I46" s="9"/>
      <c r="J46" s="9"/>
      <c r="K46" s="9"/>
      <c r="L46" s="9"/>
      <c r="M46" s="9"/>
      <c r="N46" s="9"/>
    </row>
    <row r="47" spans="1:14" ht="25.5" customHeight="1">
      <c r="A47" s="9"/>
      <c r="B47" s="14" t="str">
        <f>'Test Scenarios'!B23</f>
        <v>Infinite Scroll</v>
      </c>
      <c r="C47" s="14">
        <f>COUNTIFS('Test Cases'!$D$6:$D$23,B47)</f>
        <v>1</v>
      </c>
      <c r="D47" s="14">
        <f>COUNTIFS('Test Cases'!$D$6:$D$23,B47,'Test Cases'!$L$6:$L$23,"Automated")</f>
        <v>0</v>
      </c>
      <c r="E47" s="14">
        <f>COUNTIFS('Test Cases'!$D$6:$D$23,B47,'Test Cases'!$M$6:$M$23,"Pass")</f>
        <v>0</v>
      </c>
      <c r="F47" s="15">
        <f t="shared" si="1"/>
        <v>0</v>
      </c>
      <c r="G47" s="9"/>
      <c r="H47" s="9"/>
      <c r="I47" s="9"/>
      <c r="J47" s="9"/>
      <c r="K47" s="9"/>
      <c r="L47" s="9"/>
      <c r="M47" s="9"/>
      <c r="N47" s="9"/>
    </row>
    <row r="48" spans="1:14" ht="15.75" customHeight="1">
      <c r="A48" s="9"/>
      <c r="B48" s="9"/>
      <c r="C48" s="9"/>
      <c r="D48" s="9"/>
      <c r="E48" s="9"/>
      <c r="F48" s="9"/>
      <c r="G48" s="9"/>
      <c r="H48" s="9"/>
      <c r="I48" s="9"/>
      <c r="J48" s="9"/>
      <c r="K48" s="9"/>
      <c r="L48" s="9"/>
      <c r="M48" s="9"/>
      <c r="N48" s="9"/>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1:N2"/>
    <mergeCell ref="B3:N3"/>
    <mergeCell ref="D5:E5"/>
    <mergeCell ref="F5:H5"/>
    <mergeCell ref="I5:J5"/>
    <mergeCell ref="K5:L5"/>
    <mergeCell ref="M5:N5"/>
    <mergeCell ref="B12:F12"/>
    <mergeCell ref="B20:F20"/>
    <mergeCell ref="B28:F28"/>
    <mergeCell ref="B5:C5"/>
    <mergeCell ref="B6:C7"/>
    <mergeCell ref="F6:H7"/>
    <mergeCell ref="I6:J7"/>
    <mergeCell ref="K6:L7"/>
    <mergeCell ref="M6:N7"/>
    <mergeCell ref="B9:N9"/>
    <mergeCell ref="D6:E7"/>
  </mergeCells>
  <conditionalFormatting sqref="F30:F47">
    <cfRule type="colorScale" priority="1">
      <colorScale>
        <cfvo type="min"/>
        <cfvo type="percentile" val="50"/>
        <cfvo type="max"/>
        <color rgb="FFFFFFFF"/>
        <color rgb="FFBDE4DE"/>
        <color rgb="FF148A8A"/>
      </colorScale>
    </cfRule>
  </conditionalFormatting>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7D86"/>
  </sheetPr>
  <dimension ref="A1:G1000"/>
  <sheetViews>
    <sheetView showGridLines="0" workbookViewId="0">
      <pane ySplit="5" topLeftCell="A6" activePane="bottomLeft" state="frozen"/>
      <selection pane="bottomLeft" activeCell="F9" sqref="F9"/>
    </sheetView>
  </sheetViews>
  <sheetFormatPr defaultColWidth="12.625" defaultRowHeight="15" customHeight="1"/>
  <cols>
    <col min="1" max="1" width="15" customWidth="1"/>
    <col min="2" max="2" width="24" customWidth="1"/>
    <col min="3" max="3" width="17" customWidth="1"/>
    <col min="4" max="4" width="65" customWidth="1"/>
    <col min="5" max="5" width="57" customWidth="1"/>
    <col min="6" max="7" width="17" customWidth="1"/>
    <col min="8" max="25" width="8.625" customWidth="1"/>
  </cols>
  <sheetData>
    <row r="1" spans="1:7" ht="25.5" customHeight="1">
      <c r="A1" s="26" t="s">
        <v>0</v>
      </c>
      <c r="B1" s="19"/>
      <c r="C1" s="19"/>
      <c r="D1" s="19"/>
      <c r="E1" s="19"/>
      <c r="F1" s="19"/>
      <c r="G1" s="19"/>
    </row>
    <row r="2" spans="1:7" ht="25.5" customHeight="1">
      <c r="A2" s="19"/>
      <c r="B2" s="19"/>
      <c r="C2" s="19"/>
      <c r="D2" s="19"/>
      <c r="E2" s="19"/>
      <c r="F2" s="19"/>
      <c r="G2" s="19"/>
    </row>
    <row r="3" spans="1:7" ht="27.75" customHeight="1">
      <c r="A3" s="25" t="s">
        <v>1</v>
      </c>
      <c r="B3" s="19"/>
      <c r="C3" s="19"/>
      <c r="D3" s="19"/>
      <c r="E3" s="19"/>
      <c r="F3" s="19"/>
      <c r="G3" s="19"/>
    </row>
    <row r="5" spans="1:7">
      <c r="A5" s="1" t="s">
        <v>3</v>
      </c>
      <c r="B5" s="1" t="s">
        <v>5</v>
      </c>
      <c r="C5" s="1" t="s">
        <v>6</v>
      </c>
      <c r="D5" s="1" t="s">
        <v>7</v>
      </c>
      <c r="E5" s="1" t="s">
        <v>9</v>
      </c>
      <c r="F5" s="1" t="s">
        <v>11</v>
      </c>
      <c r="G5" s="1" t="s">
        <v>12</v>
      </c>
    </row>
    <row r="6" spans="1:7" ht="42" customHeight="1">
      <c r="A6" s="3" t="s">
        <v>14</v>
      </c>
      <c r="B6" s="3" t="s">
        <v>16</v>
      </c>
      <c r="C6" s="3" t="s">
        <v>18</v>
      </c>
      <c r="D6" s="3" t="s">
        <v>19</v>
      </c>
      <c r="E6" s="3" t="s">
        <v>21</v>
      </c>
      <c r="F6" s="3" t="s">
        <v>23</v>
      </c>
      <c r="G6" s="3" t="s">
        <v>27</v>
      </c>
    </row>
    <row r="7" spans="1:7" ht="42" customHeight="1">
      <c r="A7" s="3" t="s">
        <v>28</v>
      </c>
      <c r="B7" s="3" t="s">
        <v>30</v>
      </c>
      <c r="C7" s="3" t="s">
        <v>18</v>
      </c>
      <c r="D7" s="3" t="s">
        <v>31</v>
      </c>
      <c r="E7" s="3" t="s">
        <v>32</v>
      </c>
      <c r="F7" s="3" t="s">
        <v>23</v>
      </c>
      <c r="G7" s="3" t="s">
        <v>27</v>
      </c>
    </row>
    <row r="8" spans="1:7" ht="42" customHeight="1">
      <c r="A8" s="3" t="s">
        <v>35</v>
      </c>
      <c r="B8" s="3" t="s">
        <v>36</v>
      </c>
      <c r="C8" s="3" t="s">
        <v>37</v>
      </c>
      <c r="D8" s="3" t="s">
        <v>38</v>
      </c>
      <c r="E8" s="3" t="s">
        <v>39</v>
      </c>
      <c r="F8" s="3" t="s">
        <v>40</v>
      </c>
      <c r="G8" s="3" t="s">
        <v>27</v>
      </c>
    </row>
    <row r="9" spans="1:7" ht="42" customHeight="1">
      <c r="A9" s="3" t="s">
        <v>43</v>
      </c>
      <c r="B9" s="3" t="s">
        <v>44</v>
      </c>
      <c r="C9" s="3" t="s">
        <v>18</v>
      </c>
      <c r="D9" s="3" t="s">
        <v>46</v>
      </c>
      <c r="E9" s="3" t="s">
        <v>48</v>
      </c>
      <c r="F9" s="3" t="s">
        <v>40</v>
      </c>
      <c r="G9" s="3" t="s">
        <v>34</v>
      </c>
    </row>
    <row r="10" spans="1:7" ht="42" customHeight="1">
      <c r="A10" s="3" t="s">
        <v>51</v>
      </c>
      <c r="B10" s="3" t="s">
        <v>52</v>
      </c>
      <c r="C10" s="3" t="s">
        <v>37</v>
      </c>
      <c r="D10" s="3" t="s">
        <v>54</v>
      </c>
      <c r="E10" s="3" t="s">
        <v>55</v>
      </c>
      <c r="F10" s="3" t="s">
        <v>40</v>
      </c>
      <c r="G10" s="3" t="s">
        <v>34</v>
      </c>
    </row>
    <row r="11" spans="1:7" ht="42" customHeight="1">
      <c r="A11" s="3" t="s">
        <v>57</v>
      </c>
      <c r="B11" s="3" t="s">
        <v>58</v>
      </c>
      <c r="C11" s="3" t="s">
        <v>37</v>
      </c>
      <c r="D11" s="3" t="s">
        <v>59</v>
      </c>
      <c r="E11" s="3" t="s">
        <v>60</v>
      </c>
      <c r="F11" s="3" t="s">
        <v>40</v>
      </c>
      <c r="G11" s="3" t="s">
        <v>34</v>
      </c>
    </row>
    <row r="12" spans="1:7" ht="42" customHeight="1">
      <c r="A12" s="3" t="s">
        <v>61</v>
      </c>
      <c r="B12" s="3" t="s">
        <v>62</v>
      </c>
      <c r="C12" s="3" t="s">
        <v>18</v>
      </c>
      <c r="D12" s="3" t="s">
        <v>64</v>
      </c>
      <c r="E12" s="3" t="s">
        <v>65</v>
      </c>
      <c r="F12" s="3" t="s">
        <v>23</v>
      </c>
      <c r="G12" s="3" t="s">
        <v>34</v>
      </c>
    </row>
    <row r="13" spans="1:7" ht="42" customHeight="1">
      <c r="A13" s="3" t="s">
        <v>66</v>
      </c>
      <c r="B13" s="3" t="s">
        <v>67</v>
      </c>
      <c r="C13" s="3" t="s">
        <v>37</v>
      </c>
      <c r="D13" s="3" t="s">
        <v>69</v>
      </c>
      <c r="E13" s="3" t="s">
        <v>71</v>
      </c>
      <c r="F13" s="3" t="s">
        <v>40</v>
      </c>
      <c r="G13" s="3" t="s">
        <v>34</v>
      </c>
    </row>
    <row r="14" spans="1:7" ht="42" customHeight="1">
      <c r="A14" s="3" t="s">
        <v>74</v>
      </c>
      <c r="B14" s="3" t="s">
        <v>75</v>
      </c>
      <c r="C14" s="3" t="s">
        <v>18</v>
      </c>
      <c r="D14" s="3" t="s">
        <v>76</v>
      </c>
      <c r="E14" s="3" t="s">
        <v>77</v>
      </c>
      <c r="F14" s="3" t="s">
        <v>23</v>
      </c>
      <c r="G14" s="3" t="s">
        <v>34</v>
      </c>
    </row>
    <row r="15" spans="1:7" ht="42" customHeight="1">
      <c r="A15" s="3" t="s">
        <v>78</v>
      </c>
      <c r="B15" s="3" t="s">
        <v>80</v>
      </c>
      <c r="C15" s="3" t="s">
        <v>37</v>
      </c>
      <c r="D15" s="3" t="s">
        <v>81</v>
      </c>
      <c r="E15" s="3" t="s">
        <v>83</v>
      </c>
      <c r="F15" s="3" t="s">
        <v>84</v>
      </c>
      <c r="G15" s="3" t="s">
        <v>34</v>
      </c>
    </row>
    <row r="16" spans="1:7" ht="42" customHeight="1">
      <c r="A16" s="3" t="s">
        <v>85</v>
      </c>
      <c r="B16" s="3" t="s">
        <v>86</v>
      </c>
      <c r="C16" s="3" t="s">
        <v>87</v>
      </c>
      <c r="D16" s="3" t="s">
        <v>89</v>
      </c>
      <c r="E16" s="3" t="s">
        <v>90</v>
      </c>
      <c r="F16" s="3" t="s">
        <v>84</v>
      </c>
      <c r="G16" s="3" t="s">
        <v>34</v>
      </c>
    </row>
    <row r="17" spans="1:7" ht="42" customHeight="1">
      <c r="A17" s="3" t="s">
        <v>91</v>
      </c>
      <c r="B17" s="3" t="s">
        <v>93</v>
      </c>
      <c r="C17" s="3" t="s">
        <v>37</v>
      </c>
      <c r="D17" s="3" t="s">
        <v>95</v>
      </c>
      <c r="E17" s="3" t="s">
        <v>96</v>
      </c>
      <c r="F17" s="3" t="s">
        <v>84</v>
      </c>
      <c r="G17" s="3" t="s">
        <v>34</v>
      </c>
    </row>
    <row r="18" spans="1:7" ht="42" customHeight="1">
      <c r="A18" s="3" t="s">
        <v>99</v>
      </c>
      <c r="B18" s="3" t="s">
        <v>100</v>
      </c>
      <c r="C18" s="3" t="s">
        <v>37</v>
      </c>
      <c r="D18" s="3" t="s">
        <v>101</v>
      </c>
      <c r="E18" s="3" t="s">
        <v>102</v>
      </c>
      <c r="F18" s="3" t="s">
        <v>84</v>
      </c>
      <c r="G18" s="3" t="s">
        <v>34</v>
      </c>
    </row>
    <row r="19" spans="1:7" ht="42" customHeight="1">
      <c r="A19" s="3" t="s">
        <v>103</v>
      </c>
      <c r="B19" s="3" t="s">
        <v>104</v>
      </c>
      <c r="C19" s="3" t="s">
        <v>87</v>
      </c>
      <c r="D19" s="3" t="s">
        <v>105</v>
      </c>
      <c r="E19" s="3" t="s">
        <v>106</v>
      </c>
      <c r="F19" s="3" t="s">
        <v>107</v>
      </c>
      <c r="G19" s="3" t="s">
        <v>34</v>
      </c>
    </row>
    <row r="20" spans="1:7" ht="42" customHeight="1">
      <c r="A20" s="3" t="s">
        <v>109</v>
      </c>
      <c r="B20" s="3" t="s">
        <v>110</v>
      </c>
      <c r="C20" s="3" t="s">
        <v>37</v>
      </c>
      <c r="D20" s="3" t="s">
        <v>111</v>
      </c>
      <c r="E20" s="3" t="s">
        <v>112</v>
      </c>
      <c r="F20" s="3" t="s">
        <v>107</v>
      </c>
      <c r="G20" s="3" t="s">
        <v>34</v>
      </c>
    </row>
    <row r="21" spans="1:7" ht="42" customHeight="1">
      <c r="A21" s="3" t="s">
        <v>115</v>
      </c>
      <c r="B21" s="3" t="s">
        <v>116</v>
      </c>
      <c r="C21" s="3" t="s">
        <v>87</v>
      </c>
      <c r="D21" s="3" t="s">
        <v>118</v>
      </c>
      <c r="E21" s="3" t="s">
        <v>120</v>
      </c>
      <c r="F21" s="3" t="s">
        <v>107</v>
      </c>
      <c r="G21" s="3" t="s">
        <v>34</v>
      </c>
    </row>
    <row r="22" spans="1:7" ht="42" customHeight="1">
      <c r="A22" s="3" t="s">
        <v>121</v>
      </c>
      <c r="B22" s="3" t="s">
        <v>122</v>
      </c>
      <c r="C22" s="3" t="s">
        <v>18</v>
      </c>
      <c r="D22" s="3" t="s">
        <v>123</v>
      </c>
      <c r="E22" s="3" t="s">
        <v>124</v>
      </c>
      <c r="F22" s="3" t="s">
        <v>23</v>
      </c>
      <c r="G22" s="3" t="s">
        <v>34</v>
      </c>
    </row>
    <row r="23" spans="1:7" ht="42" customHeight="1">
      <c r="A23" s="3" t="s">
        <v>125</v>
      </c>
      <c r="B23" s="3" t="s">
        <v>126</v>
      </c>
      <c r="C23" s="3" t="s">
        <v>87</v>
      </c>
      <c r="D23" s="3" t="s">
        <v>127</v>
      </c>
      <c r="E23" s="3" t="s">
        <v>128</v>
      </c>
      <c r="F23" s="3" t="s">
        <v>107</v>
      </c>
      <c r="G23" s="3" t="s">
        <v>34</v>
      </c>
    </row>
    <row r="24" spans="1:7" ht="42" customHeight="1">
      <c r="A24" s="3" t="s">
        <v>130</v>
      </c>
      <c r="B24" s="3" t="s">
        <v>131</v>
      </c>
      <c r="C24" s="3" t="s">
        <v>87</v>
      </c>
      <c r="D24" s="3" t="s">
        <v>132</v>
      </c>
      <c r="E24" s="3" t="s">
        <v>133</v>
      </c>
      <c r="F24" s="3" t="s">
        <v>135</v>
      </c>
      <c r="G24" s="3" t="s">
        <v>136</v>
      </c>
    </row>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2"/>
    <mergeCell ref="A3:G3"/>
  </mergeCells>
  <dataValidations count="1">
    <dataValidation type="list" allowBlank="1" sqref="G6:G24" xr:uid="{00000000-0002-0000-0100-000000000000}">
      <formula1>"Not Started,In Progress,Complete,Planned"</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865A5"/>
  </sheetPr>
  <dimension ref="A1:O1000"/>
  <sheetViews>
    <sheetView showGridLines="0" topLeftCell="H1" zoomScale="70" zoomScaleNormal="70" workbookViewId="0">
      <pane ySplit="5" topLeftCell="A6" activePane="bottomLeft" state="frozen"/>
      <selection pane="bottomLeft" activeCell="M9" sqref="M9"/>
    </sheetView>
  </sheetViews>
  <sheetFormatPr defaultColWidth="12.625" defaultRowHeight="15" customHeight="1"/>
  <cols>
    <col min="1" max="1" width="14" customWidth="1"/>
    <col min="2" max="2" width="11" customWidth="1"/>
    <col min="3" max="3" width="46" customWidth="1"/>
    <col min="4" max="4" width="21" customWidth="1"/>
    <col min="5" max="5" width="38" customWidth="1"/>
    <col min="6" max="6" width="70" customWidth="1"/>
    <col min="7" max="7" width="45" customWidth="1"/>
    <col min="8" max="8" width="70" customWidth="1"/>
    <col min="9" max="10" width="13" customWidth="1"/>
    <col min="11" max="13" width="17" customWidth="1"/>
    <col min="14" max="14" width="52" customWidth="1"/>
    <col min="15" max="15" width="12" customWidth="1"/>
    <col min="16" max="26" width="8.625" customWidth="1"/>
  </cols>
  <sheetData>
    <row r="1" spans="1:15" ht="25.5" customHeight="1">
      <c r="A1" s="26" t="s">
        <v>2</v>
      </c>
      <c r="B1" s="26"/>
      <c r="C1" s="26"/>
      <c r="D1" s="26"/>
      <c r="E1" s="26"/>
      <c r="F1" s="26"/>
      <c r="G1" s="26"/>
      <c r="H1" s="26"/>
      <c r="I1" s="26"/>
      <c r="J1" s="26"/>
      <c r="K1" s="26"/>
      <c r="L1" s="26"/>
      <c r="M1" s="26"/>
      <c r="N1" s="26"/>
      <c r="O1" s="26"/>
    </row>
    <row r="2" spans="1:15" ht="25.5" customHeight="1">
      <c r="A2" s="26"/>
      <c r="B2" s="26"/>
      <c r="C2" s="26"/>
      <c r="D2" s="26"/>
      <c r="E2" s="26"/>
      <c r="F2" s="26"/>
      <c r="G2" s="26"/>
      <c r="H2" s="26"/>
      <c r="I2" s="26"/>
      <c r="J2" s="26"/>
      <c r="K2" s="26"/>
      <c r="L2" s="26"/>
      <c r="M2" s="26"/>
      <c r="N2" s="26"/>
      <c r="O2" s="26"/>
    </row>
    <row r="3" spans="1:15" ht="27.75" customHeight="1">
      <c r="A3" s="25" t="s">
        <v>4</v>
      </c>
      <c r="B3" s="25"/>
      <c r="C3" s="25"/>
      <c r="D3" s="25"/>
      <c r="E3" s="25"/>
      <c r="F3" s="25"/>
      <c r="G3" s="25"/>
      <c r="H3" s="25"/>
      <c r="I3" s="25"/>
      <c r="J3" s="25"/>
      <c r="K3" s="25"/>
      <c r="L3" s="25"/>
      <c r="M3" s="25"/>
      <c r="N3" s="25"/>
      <c r="O3" s="25"/>
    </row>
    <row r="5" spans="1:15" ht="36.75" customHeight="1">
      <c r="A5" s="2" t="s">
        <v>3</v>
      </c>
      <c r="B5" s="2" t="s">
        <v>8</v>
      </c>
      <c r="C5" s="2" t="s">
        <v>10</v>
      </c>
      <c r="D5" s="2" t="s">
        <v>5</v>
      </c>
      <c r="E5" s="2" t="s">
        <v>13</v>
      </c>
      <c r="F5" s="2" t="s">
        <v>15</v>
      </c>
      <c r="G5" s="2" t="s">
        <v>17</v>
      </c>
      <c r="H5" s="2" t="s">
        <v>20</v>
      </c>
      <c r="I5" s="2" t="s">
        <v>22</v>
      </c>
      <c r="J5" s="2" t="s">
        <v>24</v>
      </c>
      <c r="K5" s="2" t="s">
        <v>11</v>
      </c>
      <c r="L5" s="2" t="s">
        <v>25</v>
      </c>
      <c r="M5" s="2" t="s">
        <v>26</v>
      </c>
      <c r="N5" s="2" t="s">
        <v>9</v>
      </c>
      <c r="O5" s="2" t="s">
        <v>29</v>
      </c>
    </row>
    <row r="6" spans="1:15" ht="163.5" customHeight="1">
      <c r="A6" s="4" t="s">
        <v>14</v>
      </c>
      <c r="B6" s="4" t="s">
        <v>33</v>
      </c>
      <c r="C6" s="5" t="s">
        <v>19</v>
      </c>
      <c r="D6" s="5" t="s">
        <v>16</v>
      </c>
      <c r="E6" s="5" t="s">
        <v>41</v>
      </c>
      <c r="F6" s="6" t="s">
        <v>42</v>
      </c>
      <c r="G6" s="5" t="s">
        <v>45</v>
      </c>
      <c r="H6" s="5" t="s">
        <v>47</v>
      </c>
      <c r="I6" s="5" t="s">
        <v>49</v>
      </c>
      <c r="J6" s="5" t="s">
        <v>50</v>
      </c>
      <c r="K6" s="5" t="s">
        <v>23</v>
      </c>
      <c r="L6" s="17" t="s">
        <v>53</v>
      </c>
      <c r="M6" s="17" t="s">
        <v>56</v>
      </c>
      <c r="N6" s="5" t="s">
        <v>21</v>
      </c>
      <c r="O6" s="5">
        <v>8</v>
      </c>
    </row>
    <row r="7" spans="1:15" ht="145.5" customHeight="1">
      <c r="A7" s="7" t="s">
        <v>28</v>
      </c>
      <c r="B7" s="7" t="s">
        <v>63</v>
      </c>
      <c r="C7" s="8" t="s">
        <v>31</v>
      </c>
      <c r="D7" s="8" t="s">
        <v>30</v>
      </c>
      <c r="E7" s="8" t="s">
        <v>68</v>
      </c>
      <c r="F7" s="8" t="s">
        <v>70</v>
      </c>
      <c r="G7" s="8" t="s">
        <v>72</v>
      </c>
      <c r="H7" s="8" t="s">
        <v>73</v>
      </c>
      <c r="I7" s="8" t="s">
        <v>49</v>
      </c>
      <c r="J7" s="8" t="s">
        <v>50</v>
      </c>
      <c r="K7" s="8" t="s">
        <v>23</v>
      </c>
      <c r="L7" s="8" t="s">
        <v>53</v>
      </c>
      <c r="M7" s="8" t="s">
        <v>56</v>
      </c>
      <c r="N7" s="8" t="s">
        <v>32</v>
      </c>
      <c r="O7" s="8">
        <v>7</v>
      </c>
    </row>
    <row r="8" spans="1:15" ht="199.5" customHeight="1">
      <c r="A8" s="4" t="s">
        <v>35</v>
      </c>
      <c r="B8" s="4" t="s">
        <v>88</v>
      </c>
      <c r="C8" s="5" t="s">
        <v>38</v>
      </c>
      <c r="D8" s="5" t="s">
        <v>36</v>
      </c>
      <c r="E8" s="5" t="s">
        <v>92</v>
      </c>
      <c r="F8" s="5" t="s">
        <v>94</v>
      </c>
      <c r="G8" s="5" t="s">
        <v>97</v>
      </c>
      <c r="H8" s="5" t="s">
        <v>98</v>
      </c>
      <c r="I8" s="5" t="s">
        <v>49</v>
      </c>
      <c r="J8" s="5" t="s">
        <v>50</v>
      </c>
      <c r="K8" s="5" t="s">
        <v>40</v>
      </c>
      <c r="L8" s="17" t="s">
        <v>53</v>
      </c>
      <c r="M8" s="17" t="s">
        <v>56</v>
      </c>
      <c r="N8" s="5" t="s">
        <v>39</v>
      </c>
      <c r="O8" s="5">
        <v>10</v>
      </c>
    </row>
    <row r="9" spans="1:15" ht="145.5" customHeight="1">
      <c r="A9" s="7" t="s">
        <v>43</v>
      </c>
      <c r="B9" s="7" t="s">
        <v>108</v>
      </c>
      <c r="C9" s="8" t="s">
        <v>46</v>
      </c>
      <c r="D9" s="8" t="s">
        <v>44</v>
      </c>
      <c r="E9" s="8" t="s">
        <v>113</v>
      </c>
      <c r="F9" s="8" t="s">
        <v>114</v>
      </c>
      <c r="G9" s="8" t="s">
        <v>117</v>
      </c>
      <c r="H9" s="8" t="s">
        <v>119</v>
      </c>
      <c r="I9" s="8" t="s">
        <v>49</v>
      </c>
      <c r="J9" s="8" t="s">
        <v>50</v>
      </c>
      <c r="K9" s="8" t="s">
        <v>40</v>
      </c>
      <c r="L9" s="8" t="s">
        <v>53</v>
      </c>
      <c r="M9" s="8" t="s">
        <v>56</v>
      </c>
      <c r="N9" s="8" t="s">
        <v>48</v>
      </c>
      <c r="O9" s="8">
        <v>7</v>
      </c>
    </row>
    <row r="10" spans="1:15" ht="217.5" customHeight="1">
      <c r="A10" s="4" t="s">
        <v>51</v>
      </c>
      <c r="B10" s="4" t="s">
        <v>129</v>
      </c>
      <c r="C10" s="5" t="s">
        <v>54</v>
      </c>
      <c r="D10" s="5" t="s">
        <v>52</v>
      </c>
      <c r="E10" s="5" t="s">
        <v>134</v>
      </c>
      <c r="F10" s="5" t="s">
        <v>137</v>
      </c>
      <c r="G10" s="5" t="s">
        <v>138</v>
      </c>
      <c r="H10" s="5" t="s">
        <v>139</v>
      </c>
      <c r="I10" s="5" t="s">
        <v>49</v>
      </c>
      <c r="J10" s="5" t="s">
        <v>50</v>
      </c>
      <c r="K10" s="5" t="s">
        <v>40</v>
      </c>
      <c r="L10" s="5" t="s">
        <v>79</v>
      </c>
      <c r="M10" s="5" t="s">
        <v>82</v>
      </c>
      <c r="N10" s="5" t="s">
        <v>55</v>
      </c>
      <c r="O10" s="5">
        <v>11</v>
      </c>
    </row>
    <row r="11" spans="1:15" ht="145.5" customHeight="1">
      <c r="A11" s="7" t="s">
        <v>57</v>
      </c>
      <c r="B11" s="7" t="s">
        <v>140</v>
      </c>
      <c r="C11" s="8" t="s">
        <v>59</v>
      </c>
      <c r="D11" s="8" t="s">
        <v>58</v>
      </c>
      <c r="E11" s="8" t="s">
        <v>141</v>
      </c>
      <c r="F11" s="8" t="s">
        <v>142</v>
      </c>
      <c r="G11" s="8" t="s">
        <v>143</v>
      </c>
      <c r="H11" s="8" t="s">
        <v>144</v>
      </c>
      <c r="I11" s="8" t="s">
        <v>49</v>
      </c>
      <c r="J11" s="8" t="s">
        <v>50</v>
      </c>
      <c r="K11" s="8" t="s">
        <v>40</v>
      </c>
      <c r="L11" s="8" t="s">
        <v>79</v>
      </c>
      <c r="M11" s="8" t="s">
        <v>82</v>
      </c>
      <c r="N11" s="8" t="s">
        <v>60</v>
      </c>
      <c r="O11" s="8">
        <v>7</v>
      </c>
    </row>
    <row r="12" spans="1:15" ht="127.5" customHeight="1">
      <c r="A12" s="4" t="s">
        <v>61</v>
      </c>
      <c r="B12" s="4" t="s">
        <v>145</v>
      </c>
      <c r="C12" s="5" t="s">
        <v>64</v>
      </c>
      <c r="D12" s="5" t="s">
        <v>62</v>
      </c>
      <c r="E12" s="5" t="s">
        <v>146</v>
      </c>
      <c r="F12" s="5" t="s">
        <v>147</v>
      </c>
      <c r="G12" s="5" t="s">
        <v>148</v>
      </c>
      <c r="H12" s="5" t="s">
        <v>149</v>
      </c>
      <c r="I12" s="5" t="s">
        <v>49</v>
      </c>
      <c r="J12" s="5" t="s">
        <v>50</v>
      </c>
      <c r="K12" s="5" t="s">
        <v>23</v>
      </c>
      <c r="L12" s="5" t="s">
        <v>79</v>
      </c>
      <c r="M12" s="5" t="s">
        <v>82</v>
      </c>
      <c r="N12" s="5" t="s">
        <v>65</v>
      </c>
      <c r="O12" s="5">
        <v>6</v>
      </c>
    </row>
    <row r="13" spans="1:15" ht="127.5" customHeight="1">
      <c r="A13" s="7" t="s">
        <v>66</v>
      </c>
      <c r="B13" s="7" t="s">
        <v>150</v>
      </c>
      <c r="C13" s="8" t="s">
        <v>69</v>
      </c>
      <c r="D13" s="8" t="s">
        <v>67</v>
      </c>
      <c r="E13" s="8" t="s">
        <v>151</v>
      </c>
      <c r="F13" s="8" t="s">
        <v>152</v>
      </c>
      <c r="G13" s="8" t="s">
        <v>153</v>
      </c>
      <c r="H13" s="8" t="s">
        <v>154</v>
      </c>
      <c r="I13" s="8" t="s">
        <v>49</v>
      </c>
      <c r="J13" s="8" t="s">
        <v>50</v>
      </c>
      <c r="K13" s="8" t="s">
        <v>40</v>
      </c>
      <c r="L13" s="8" t="s">
        <v>79</v>
      </c>
      <c r="M13" s="8" t="s">
        <v>82</v>
      </c>
      <c r="N13" s="8" t="s">
        <v>71</v>
      </c>
      <c r="O13" s="8">
        <v>6</v>
      </c>
    </row>
    <row r="14" spans="1:15" ht="127.5" customHeight="1">
      <c r="A14" s="4" t="s">
        <v>74</v>
      </c>
      <c r="B14" s="4" t="s">
        <v>155</v>
      </c>
      <c r="C14" s="5" t="s">
        <v>76</v>
      </c>
      <c r="D14" s="5" t="s">
        <v>75</v>
      </c>
      <c r="E14" s="5" t="s">
        <v>156</v>
      </c>
      <c r="F14" s="5" t="s">
        <v>157</v>
      </c>
      <c r="G14" s="5" t="s">
        <v>158</v>
      </c>
      <c r="H14" s="5" t="s">
        <v>159</v>
      </c>
      <c r="I14" s="5" t="s">
        <v>49</v>
      </c>
      <c r="J14" s="5" t="s">
        <v>50</v>
      </c>
      <c r="K14" s="5" t="s">
        <v>23</v>
      </c>
      <c r="L14" s="5" t="s">
        <v>79</v>
      </c>
      <c r="M14" s="5" t="s">
        <v>82</v>
      </c>
      <c r="N14" s="5" t="s">
        <v>77</v>
      </c>
      <c r="O14" s="5">
        <v>6</v>
      </c>
    </row>
    <row r="15" spans="1:15" ht="109.5" customHeight="1">
      <c r="A15" s="7" t="s">
        <v>78</v>
      </c>
      <c r="B15" s="7" t="s">
        <v>162</v>
      </c>
      <c r="C15" s="8" t="s">
        <v>81</v>
      </c>
      <c r="D15" s="8" t="s">
        <v>80</v>
      </c>
      <c r="E15" s="8" t="s">
        <v>169</v>
      </c>
      <c r="F15" s="8" t="s">
        <v>170</v>
      </c>
      <c r="G15" s="8" t="s">
        <v>171</v>
      </c>
      <c r="H15" s="8" t="s">
        <v>172</v>
      </c>
      <c r="I15" s="8" t="s">
        <v>49</v>
      </c>
      <c r="J15" s="8" t="s">
        <v>50</v>
      </c>
      <c r="K15" s="8" t="s">
        <v>84</v>
      </c>
      <c r="L15" s="8" t="s">
        <v>79</v>
      </c>
      <c r="M15" s="8" t="s">
        <v>82</v>
      </c>
      <c r="N15" s="8" t="s">
        <v>83</v>
      </c>
      <c r="O15" s="8">
        <v>5</v>
      </c>
    </row>
    <row r="16" spans="1:15" ht="163.5" customHeight="1">
      <c r="A16" s="4" t="s">
        <v>85</v>
      </c>
      <c r="B16" s="4" t="s">
        <v>173</v>
      </c>
      <c r="C16" s="5" t="s">
        <v>89</v>
      </c>
      <c r="D16" s="5" t="s">
        <v>86</v>
      </c>
      <c r="E16" s="5" t="s">
        <v>174</v>
      </c>
      <c r="F16" s="5" t="s">
        <v>175</v>
      </c>
      <c r="G16" s="5" t="s">
        <v>176</v>
      </c>
      <c r="H16" s="5" t="s">
        <v>177</v>
      </c>
      <c r="I16" s="5" t="s">
        <v>49</v>
      </c>
      <c r="J16" s="5" t="s">
        <v>50</v>
      </c>
      <c r="K16" s="5" t="s">
        <v>84</v>
      </c>
      <c r="L16" s="5" t="s">
        <v>79</v>
      </c>
      <c r="M16" s="5" t="s">
        <v>82</v>
      </c>
      <c r="N16" s="5" t="s">
        <v>90</v>
      </c>
      <c r="O16" s="5">
        <v>8</v>
      </c>
    </row>
    <row r="17" spans="1:15" ht="127.5" customHeight="1">
      <c r="A17" s="7" t="s">
        <v>91</v>
      </c>
      <c r="B17" s="7" t="s">
        <v>178</v>
      </c>
      <c r="C17" s="8" t="s">
        <v>95</v>
      </c>
      <c r="D17" s="8" t="s">
        <v>93</v>
      </c>
      <c r="E17" s="8" t="s">
        <v>180</v>
      </c>
      <c r="F17" s="8" t="s">
        <v>182</v>
      </c>
      <c r="G17" s="8" t="s">
        <v>183</v>
      </c>
      <c r="H17" s="8" t="s">
        <v>187</v>
      </c>
      <c r="I17" s="8" t="s">
        <v>49</v>
      </c>
      <c r="J17" s="8" t="s">
        <v>50</v>
      </c>
      <c r="K17" s="8" t="s">
        <v>84</v>
      </c>
      <c r="L17" s="8" t="s">
        <v>79</v>
      </c>
      <c r="M17" s="8" t="s">
        <v>82</v>
      </c>
      <c r="N17" s="8" t="s">
        <v>96</v>
      </c>
      <c r="O17" s="8">
        <v>6</v>
      </c>
    </row>
    <row r="18" spans="1:15" ht="163.5" customHeight="1">
      <c r="A18" s="4" t="s">
        <v>99</v>
      </c>
      <c r="B18" s="4" t="s">
        <v>188</v>
      </c>
      <c r="C18" s="5" t="s">
        <v>101</v>
      </c>
      <c r="D18" s="5" t="s">
        <v>100</v>
      </c>
      <c r="E18" s="5" t="s">
        <v>189</v>
      </c>
      <c r="F18" s="5" t="s">
        <v>190</v>
      </c>
      <c r="G18" s="5" t="s">
        <v>191</v>
      </c>
      <c r="H18" s="5" t="s">
        <v>192</v>
      </c>
      <c r="I18" s="5" t="s">
        <v>49</v>
      </c>
      <c r="J18" s="5" t="s">
        <v>50</v>
      </c>
      <c r="K18" s="5" t="s">
        <v>84</v>
      </c>
      <c r="L18" s="5" t="s">
        <v>79</v>
      </c>
      <c r="M18" s="5" t="s">
        <v>82</v>
      </c>
      <c r="N18" s="5" t="s">
        <v>102</v>
      </c>
      <c r="O18" s="5">
        <v>8</v>
      </c>
    </row>
    <row r="19" spans="1:15" ht="145.5" customHeight="1">
      <c r="A19" s="7" t="s">
        <v>103</v>
      </c>
      <c r="B19" s="7" t="s">
        <v>193</v>
      </c>
      <c r="C19" s="8" t="s">
        <v>105</v>
      </c>
      <c r="D19" s="8" t="s">
        <v>104</v>
      </c>
      <c r="E19" s="8" t="s">
        <v>194</v>
      </c>
      <c r="F19" s="8" t="s">
        <v>195</v>
      </c>
      <c r="G19" s="8" t="s">
        <v>197</v>
      </c>
      <c r="H19" s="8" t="s">
        <v>200</v>
      </c>
      <c r="I19" s="8" t="s">
        <v>49</v>
      </c>
      <c r="J19" s="8" t="s">
        <v>50</v>
      </c>
      <c r="K19" s="8" t="s">
        <v>107</v>
      </c>
      <c r="L19" s="8" t="s">
        <v>79</v>
      </c>
      <c r="M19" s="8" t="s">
        <v>82</v>
      </c>
      <c r="N19" s="8" t="s">
        <v>106</v>
      </c>
      <c r="O19" s="8">
        <v>7</v>
      </c>
    </row>
    <row r="20" spans="1:15" ht="145.5" customHeight="1">
      <c r="A20" s="4" t="s">
        <v>109</v>
      </c>
      <c r="B20" s="4" t="s">
        <v>202</v>
      </c>
      <c r="C20" s="5" t="s">
        <v>111</v>
      </c>
      <c r="D20" s="5" t="s">
        <v>110</v>
      </c>
      <c r="E20" s="5" t="s">
        <v>205</v>
      </c>
      <c r="F20" s="5" t="s">
        <v>207</v>
      </c>
      <c r="G20" s="5" t="s">
        <v>208</v>
      </c>
      <c r="H20" s="5" t="s">
        <v>209</v>
      </c>
      <c r="I20" s="5" t="s">
        <v>49</v>
      </c>
      <c r="J20" s="5" t="s">
        <v>50</v>
      </c>
      <c r="K20" s="5" t="s">
        <v>107</v>
      </c>
      <c r="L20" s="5" t="s">
        <v>79</v>
      </c>
      <c r="M20" s="5" t="s">
        <v>82</v>
      </c>
      <c r="N20" s="5" t="s">
        <v>112</v>
      </c>
      <c r="O20" s="5">
        <v>7</v>
      </c>
    </row>
    <row r="21" spans="1:15" ht="163.5" customHeight="1">
      <c r="A21" s="7" t="s">
        <v>115</v>
      </c>
      <c r="B21" s="7" t="s">
        <v>212</v>
      </c>
      <c r="C21" s="8" t="s">
        <v>118</v>
      </c>
      <c r="D21" s="8" t="s">
        <v>116</v>
      </c>
      <c r="E21" s="8" t="s">
        <v>213</v>
      </c>
      <c r="F21" s="8" t="s">
        <v>214</v>
      </c>
      <c r="G21" s="8" t="s">
        <v>215</v>
      </c>
      <c r="H21" s="8" t="s">
        <v>216</v>
      </c>
      <c r="I21" s="8" t="s">
        <v>49</v>
      </c>
      <c r="J21" s="8" t="s">
        <v>50</v>
      </c>
      <c r="K21" s="8" t="s">
        <v>107</v>
      </c>
      <c r="L21" s="8" t="s">
        <v>79</v>
      </c>
      <c r="M21" s="8" t="s">
        <v>82</v>
      </c>
      <c r="N21" s="8" t="s">
        <v>120</v>
      </c>
      <c r="O21" s="8">
        <v>8</v>
      </c>
    </row>
    <row r="22" spans="1:15" ht="127.5" customHeight="1">
      <c r="A22" s="4" t="s">
        <v>121</v>
      </c>
      <c r="B22" s="4" t="s">
        <v>217</v>
      </c>
      <c r="C22" s="5" t="s">
        <v>123</v>
      </c>
      <c r="D22" s="5" t="s">
        <v>122</v>
      </c>
      <c r="E22" s="5" t="s">
        <v>218</v>
      </c>
      <c r="F22" s="5" t="s">
        <v>219</v>
      </c>
      <c r="G22" s="5" t="s">
        <v>220</v>
      </c>
      <c r="H22" s="5" t="s">
        <v>221</v>
      </c>
      <c r="I22" s="5" t="s">
        <v>49</v>
      </c>
      <c r="J22" s="5" t="s">
        <v>50</v>
      </c>
      <c r="K22" s="5" t="s">
        <v>23</v>
      </c>
      <c r="L22" s="5" t="s">
        <v>79</v>
      </c>
      <c r="M22" s="5" t="s">
        <v>82</v>
      </c>
      <c r="N22" s="5" t="s">
        <v>124</v>
      </c>
      <c r="O22" s="5">
        <v>6</v>
      </c>
    </row>
    <row r="23" spans="1:15" ht="145.5" customHeight="1">
      <c r="A23" s="7" t="s">
        <v>125</v>
      </c>
      <c r="B23" s="7" t="s">
        <v>222</v>
      </c>
      <c r="C23" s="8" t="s">
        <v>127</v>
      </c>
      <c r="D23" s="8" t="s">
        <v>126</v>
      </c>
      <c r="E23" s="8" t="s">
        <v>223</v>
      </c>
      <c r="F23" s="8" t="s">
        <v>224</v>
      </c>
      <c r="G23" s="8" t="s">
        <v>225</v>
      </c>
      <c r="H23" s="8" t="s">
        <v>226</v>
      </c>
      <c r="I23" s="8" t="s">
        <v>49</v>
      </c>
      <c r="J23" s="8" t="s">
        <v>50</v>
      </c>
      <c r="K23" s="8" t="s">
        <v>107</v>
      </c>
      <c r="L23" s="8" t="s">
        <v>79</v>
      </c>
      <c r="M23" s="8" t="s">
        <v>82</v>
      </c>
      <c r="N23" s="8" t="s">
        <v>128</v>
      </c>
      <c r="O23" s="8">
        <v>7</v>
      </c>
    </row>
    <row r="24" spans="1:15" ht="57" customHeight="1">
      <c r="A24" s="4" t="s">
        <v>130</v>
      </c>
      <c r="B24" s="4" t="s">
        <v>227</v>
      </c>
      <c r="C24" s="5" t="s">
        <v>132</v>
      </c>
      <c r="D24" s="5" t="s">
        <v>131</v>
      </c>
      <c r="E24" s="5" t="s">
        <v>228</v>
      </c>
      <c r="F24" s="5" t="s">
        <v>229</v>
      </c>
      <c r="G24" s="5" t="s">
        <v>230</v>
      </c>
      <c r="H24" s="5" t="s">
        <v>230</v>
      </c>
      <c r="I24" s="5" t="s">
        <v>136</v>
      </c>
      <c r="J24" s="5" t="s">
        <v>231</v>
      </c>
      <c r="K24" s="5" t="s">
        <v>135</v>
      </c>
      <c r="L24" s="5" t="s">
        <v>136</v>
      </c>
      <c r="M24" s="5" t="s">
        <v>136</v>
      </c>
      <c r="N24" s="5" t="s">
        <v>133</v>
      </c>
      <c r="O24" s="5">
        <v>0</v>
      </c>
    </row>
    <row r="25" spans="1:15" ht="144" customHeight="1">
      <c r="L25" s="16"/>
      <c r="M25" s="16"/>
    </row>
    <row r="26" spans="1:15" ht="166.5" customHeight="1">
      <c r="L26" s="16"/>
      <c r="M26" s="16"/>
    </row>
    <row r="27" spans="1:15" ht="189.75" customHeight="1">
      <c r="L27" s="16"/>
      <c r="M27" s="16"/>
    </row>
    <row r="28" spans="1:15" ht="189.75" customHeight="1">
      <c r="L28" s="16"/>
      <c r="M28" s="16"/>
      <c r="N28" s="16"/>
    </row>
    <row r="29" spans="1:15" ht="213" customHeight="1">
      <c r="L29" s="16"/>
      <c r="M29" s="16"/>
    </row>
    <row r="30" spans="1:15" ht="235.5" customHeight="1">
      <c r="L30" s="16"/>
      <c r="M30" s="16"/>
      <c r="N30" s="16"/>
    </row>
    <row r="31" spans="1:15" ht="189.75" customHeight="1">
      <c r="L31" s="16"/>
      <c r="M31" s="16"/>
    </row>
    <row r="32" spans="1:15" ht="166.5" customHeight="1">
      <c r="L32" s="16"/>
      <c r="M32" s="16"/>
    </row>
    <row r="33" spans="12:14" ht="189.75" customHeight="1">
      <c r="L33" s="16"/>
      <c r="M33" s="16"/>
      <c r="N33" s="16"/>
    </row>
    <row r="34" spans="12:14" ht="189.75" customHeight="1">
      <c r="L34" s="16"/>
      <c r="M34" s="16"/>
    </row>
    <row r="35" spans="12:14" ht="189.75" customHeight="1">
      <c r="L35" s="16"/>
      <c r="M35" s="16"/>
    </row>
    <row r="36" spans="12:14" ht="144" customHeight="1">
      <c r="L36" s="16"/>
      <c r="M36" s="16"/>
      <c r="N36" s="16"/>
    </row>
    <row r="37" spans="12:14" ht="144" customHeight="1">
      <c r="L37" s="16"/>
      <c r="M37" s="16"/>
    </row>
    <row r="38" spans="12:14" ht="166.5" customHeight="1">
      <c r="L38" s="16"/>
      <c r="M38" s="16"/>
    </row>
    <row r="39" spans="12:14" ht="166.5" customHeight="1">
      <c r="L39" s="16"/>
      <c r="M39" s="16"/>
      <c r="N39" s="16"/>
    </row>
    <row r="40" spans="12:14" ht="166.5" customHeight="1">
      <c r="L40" s="16"/>
      <c r="M40" s="16"/>
    </row>
    <row r="41" spans="12:14" ht="144" customHeight="1">
      <c r="L41" s="16"/>
      <c r="M41" s="16"/>
    </row>
    <row r="42" spans="12:14" ht="189.75" customHeight="1">
      <c r="L42" s="16"/>
      <c r="M42" s="16"/>
      <c r="N42" s="16"/>
    </row>
    <row r="43" spans="12:14" ht="166.5" customHeight="1">
      <c r="L43" s="16"/>
      <c r="M43" s="16"/>
    </row>
    <row r="44" spans="12:14" ht="189.75" customHeight="1">
      <c r="L44" s="16"/>
      <c r="M44" s="16"/>
    </row>
    <row r="45" spans="12:14" ht="189.75" customHeight="1">
      <c r="L45" s="16"/>
      <c r="M45" s="16"/>
      <c r="N45" s="16"/>
    </row>
    <row r="46" spans="12:14" ht="144" customHeight="1">
      <c r="L46" s="16"/>
      <c r="M46" s="16"/>
    </row>
    <row r="47" spans="12:14" ht="189.75" customHeight="1">
      <c r="L47" s="16"/>
      <c r="M47" s="16"/>
    </row>
    <row r="48" spans="12:14" ht="213" customHeight="1">
      <c r="L48" s="16"/>
      <c r="M48" s="16"/>
    </row>
    <row r="49" spans="12:14" ht="189.75" customHeight="1">
      <c r="L49" s="16"/>
      <c r="M49" s="16"/>
      <c r="N49" s="16"/>
    </row>
    <row r="50" spans="12:14" ht="189.75" customHeight="1">
      <c r="L50" s="16"/>
      <c r="M50" s="16"/>
    </row>
    <row r="51" spans="12:14" ht="189.75" customHeight="1">
      <c r="L51" s="16"/>
      <c r="M51" s="16"/>
      <c r="N51" s="16"/>
    </row>
    <row r="52" spans="12:14" ht="189.75" customHeight="1">
      <c r="L52" s="16"/>
      <c r="M52" s="16"/>
    </row>
    <row r="53" spans="12:14" ht="189.75" customHeight="1">
      <c r="L53" s="16"/>
      <c r="M53" s="16"/>
    </row>
    <row r="54" spans="12:14" ht="189.75" customHeight="1">
      <c r="L54" s="16"/>
      <c r="M54" s="16"/>
    </row>
    <row r="55" spans="12:14" ht="189.75" customHeight="1">
      <c r="L55" s="16"/>
      <c r="M55" s="16"/>
    </row>
    <row r="56" spans="12:14" ht="189.75" customHeight="1">
      <c r="L56" s="16"/>
      <c r="M56" s="16"/>
      <c r="N56" s="16"/>
    </row>
    <row r="57" spans="12:14" ht="189.75" customHeight="1">
      <c r="L57" s="16"/>
      <c r="M57" s="16"/>
    </row>
    <row r="58" spans="12:14" ht="189.75" customHeight="1">
      <c r="L58" s="16"/>
      <c r="M58" s="16"/>
    </row>
    <row r="59" spans="12:14" ht="189.75" customHeight="1">
      <c r="L59" s="16"/>
      <c r="M59" s="16"/>
    </row>
    <row r="60" spans="12:14" ht="189.75" customHeight="1">
      <c r="L60" s="16"/>
      <c r="M60" s="16"/>
    </row>
    <row r="61" spans="12:14" ht="189.75" customHeight="1">
      <c r="L61" s="16"/>
      <c r="M61" s="16"/>
      <c r="N61" s="16"/>
    </row>
    <row r="62" spans="12:14" ht="189.75" customHeight="1">
      <c r="L62" s="16"/>
      <c r="M62" s="16"/>
    </row>
    <row r="63" spans="12:14" ht="189.75" customHeight="1">
      <c r="L63" s="16"/>
      <c r="M63" s="16"/>
    </row>
    <row r="64" spans="12:14" ht="144" customHeight="1">
      <c r="L64" s="16"/>
      <c r="M64" s="16"/>
      <c r="N64" s="16"/>
    </row>
    <row r="65" spans="12:14" ht="189.75" customHeight="1">
      <c r="L65" s="16"/>
      <c r="M65" s="16"/>
    </row>
    <row r="66" spans="12:14" ht="189.75" customHeight="1">
      <c r="L66" s="16"/>
      <c r="M66" s="16"/>
    </row>
    <row r="67" spans="12:14" ht="189.75" customHeight="1">
      <c r="L67" s="16"/>
      <c r="M67" s="16"/>
    </row>
    <row r="68" spans="12:14" ht="189.75" customHeight="1">
      <c r="L68" s="16"/>
      <c r="M68" s="16"/>
    </row>
    <row r="69" spans="12:14" ht="189.75" customHeight="1">
      <c r="L69" s="16"/>
      <c r="M69" s="16"/>
    </row>
    <row r="70" spans="12:14" ht="166.5" customHeight="1">
      <c r="L70" s="16"/>
      <c r="M70" s="16"/>
      <c r="N70" s="16"/>
    </row>
    <row r="71" spans="12:14" ht="189.75" customHeight="1">
      <c r="L71" s="16"/>
      <c r="M71" s="16"/>
      <c r="N71" s="16"/>
    </row>
    <row r="72" spans="12:14" ht="189.75" customHeight="1">
      <c r="L72" s="16"/>
      <c r="M72" s="16"/>
    </row>
    <row r="73" spans="12:14" ht="189.75" customHeight="1">
      <c r="L73" s="16"/>
      <c r="M73" s="16"/>
    </row>
    <row r="74" spans="12:14" ht="189.75" customHeight="1">
      <c r="L74" s="16"/>
      <c r="M74" s="16"/>
    </row>
    <row r="75" spans="12:14" ht="189.75" customHeight="1">
      <c r="L75" s="16"/>
      <c r="M75" s="16"/>
    </row>
    <row r="76" spans="12:14" ht="189.75" customHeight="1">
      <c r="L76" s="16"/>
      <c r="M76" s="16"/>
    </row>
    <row r="77" spans="12:14" ht="166.5" customHeight="1">
      <c r="L77" s="16"/>
      <c r="M77" s="16"/>
      <c r="N77" s="16"/>
    </row>
    <row r="78" spans="12:14" ht="166.5" customHeight="1">
      <c r="L78" s="16"/>
      <c r="M78" s="16"/>
    </row>
    <row r="79" spans="12:14" ht="189.75" customHeight="1">
      <c r="L79" s="16"/>
      <c r="M79" s="16"/>
    </row>
    <row r="80" spans="12:14" ht="166.5" customHeight="1">
      <c r="L80" s="16"/>
      <c r="M80" s="16"/>
      <c r="N80" s="16"/>
    </row>
    <row r="81" spans="12:14" ht="189.75" customHeight="1">
      <c r="L81" s="16"/>
      <c r="M81" s="16"/>
    </row>
    <row r="82" spans="12:14" ht="189.75" customHeight="1">
      <c r="L82" s="16"/>
      <c r="M82" s="16"/>
    </row>
    <row r="83" spans="12:14" ht="189.75" customHeight="1">
      <c r="L83" s="16"/>
      <c r="M83" s="16"/>
    </row>
    <row r="84" spans="12:14" ht="213" customHeight="1">
      <c r="L84" s="16"/>
      <c r="M84" s="16"/>
      <c r="N84" s="16"/>
    </row>
    <row r="85" spans="12:14" ht="36" customHeight="1"/>
    <row r="86" spans="12:14" ht="36" customHeight="1"/>
    <row r="87" spans="12:14" ht="36" customHeight="1"/>
    <row r="88" spans="12:14" ht="36" customHeight="1">
      <c r="M88" s="16"/>
      <c r="N88" s="16"/>
    </row>
    <row r="89" spans="12:14" ht="36" customHeight="1"/>
    <row r="90" spans="12:14" ht="36" customHeight="1"/>
    <row r="91" spans="12:14" ht="36" customHeight="1">
      <c r="M91" s="16"/>
      <c r="N91" s="16"/>
    </row>
    <row r="92" spans="12:14" ht="36" customHeight="1"/>
    <row r="93" spans="12:14" ht="36" customHeight="1"/>
    <row r="94" spans="12:14" ht="36" customHeight="1"/>
    <row r="95" spans="12:14" ht="36" customHeight="1"/>
    <row r="96" spans="12:14" ht="36" customHeight="1"/>
    <row r="97" spans="13:14" ht="36" customHeight="1">
      <c r="M97" s="16"/>
      <c r="N97" s="16"/>
    </row>
    <row r="98" spans="13:14" ht="36" customHeight="1"/>
    <row r="99" spans="13:14" ht="36" customHeight="1"/>
    <row r="100" spans="13:14" ht="36" customHeight="1"/>
    <row r="101" spans="13:14" ht="36" customHeight="1"/>
    <row r="102" spans="13:14" ht="36" customHeight="1">
      <c r="M102" s="16"/>
      <c r="N102" s="16"/>
    </row>
    <row r="103" spans="13:14" ht="36" customHeight="1"/>
    <row r="104" spans="13:14" ht="36" customHeight="1"/>
    <row r="105" spans="13:14" ht="36" customHeight="1">
      <c r="M105" s="16"/>
      <c r="N105" s="16"/>
    </row>
    <row r="106" spans="13:14" ht="36" customHeight="1"/>
    <row r="107" spans="13:14" ht="36" customHeight="1"/>
    <row r="108" spans="13:14" ht="36" customHeight="1">
      <c r="M108" s="16"/>
      <c r="N108" s="16"/>
    </row>
    <row r="109" spans="13:14" ht="36" customHeight="1"/>
    <row r="110" spans="13:14" ht="36" customHeight="1"/>
    <row r="111" spans="13:14" ht="36" customHeight="1"/>
    <row r="112" spans="13:14" ht="36" customHeight="1">
      <c r="M112" s="16"/>
      <c r="N112" s="16"/>
    </row>
    <row r="113" spans="13:14" ht="36" customHeight="1"/>
    <row r="114" spans="13:14" ht="36" customHeight="1">
      <c r="M114" s="16"/>
      <c r="N114" s="16"/>
    </row>
    <row r="115" spans="13:14" ht="36" customHeight="1"/>
    <row r="116" spans="13:14" ht="36" customHeight="1"/>
    <row r="117" spans="13:14" ht="36" customHeight="1"/>
    <row r="118" spans="13:14" ht="36" customHeight="1">
      <c r="M118" s="16"/>
      <c r="N118" s="16"/>
    </row>
    <row r="119" spans="13:14" ht="36" customHeight="1"/>
    <row r="120" spans="13:14" ht="36" customHeight="1">
      <c r="M120" s="16"/>
      <c r="N120" s="16"/>
    </row>
    <row r="121" spans="13:14" ht="36" customHeight="1"/>
    <row r="122" spans="13:14" ht="36" customHeight="1"/>
    <row r="123" spans="13:14" ht="36" customHeight="1"/>
    <row r="124" spans="13:14" ht="36" customHeight="1"/>
    <row r="125" spans="13:14" ht="36" customHeight="1">
      <c r="M125" s="16"/>
      <c r="N125" s="16"/>
    </row>
    <row r="126" spans="13:14" ht="36" customHeight="1"/>
    <row r="127" spans="13:14" ht="36" customHeight="1"/>
    <row r="128" spans="13:14" ht="36" customHeight="1"/>
    <row r="129" spans="13:14" ht="36" customHeight="1"/>
    <row r="130" spans="13:14" ht="36" customHeight="1"/>
    <row r="131" spans="13:14" ht="36" customHeight="1">
      <c r="M131" s="16"/>
      <c r="N131" s="16"/>
    </row>
    <row r="132" spans="13:14" ht="36" customHeight="1">
      <c r="M132" s="16"/>
      <c r="N132" s="16"/>
    </row>
    <row r="133" spans="13:14" ht="36" customHeight="1"/>
    <row r="134" spans="13:14" ht="36" customHeight="1"/>
    <row r="135" spans="13:14" ht="36" customHeight="1"/>
    <row r="136" spans="13:14" ht="36" customHeight="1"/>
    <row r="137" spans="13:14" ht="36" customHeight="1">
      <c r="M137" s="16"/>
      <c r="N137" s="16"/>
    </row>
    <row r="138" spans="13:14" ht="36" customHeight="1"/>
    <row r="139" spans="13:14" ht="36" customHeight="1">
      <c r="M139" s="16"/>
      <c r="N139" s="16"/>
    </row>
    <row r="140" spans="13:14" ht="36" customHeight="1"/>
    <row r="141" spans="13:14" ht="36" customHeight="1"/>
    <row r="142" spans="13:14" ht="36" customHeight="1"/>
    <row r="143" spans="13:14" ht="36" customHeight="1">
      <c r="M143" s="16"/>
      <c r="N143" s="16"/>
    </row>
    <row r="144" spans="13:14" ht="36" customHeight="1">
      <c r="M144" s="16"/>
      <c r="N144" s="16"/>
    </row>
    <row r="145" spans="13:14" ht="36" customHeight="1"/>
    <row r="146" spans="13:14" ht="36" customHeight="1"/>
    <row r="147" spans="13:14" ht="36" customHeight="1"/>
    <row r="148" spans="13:14" ht="36" customHeight="1"/>
    <row r="149" spans="13:14" ht="36" customHeight="1">
      <c r="M149" s="16"/>
      <c r="N149" s="16"/>
    </row>
    <row r="150" spans="13:14" ht="36" customHeight="1">
      <c r="M150" s="16"/>
      <c r="N150" s="16"/>
    </row>
    <row r="151" spans="13:14" ht="36" customHeight="1"/>
    <row r="152" spans="13:14" ht="36" customHeight="1"/>
    <row r="153" spans="13:14" ht="36" customHeight="1"/>
    <row r="154" spans="13:14" ht="36" customHeight="1"/>
    <row r="155" spans="13:14" ht="36" customHeight="1"/>
    <row r="156" spans="13:14" ht="36" customHeight="1">
      <c r="M156" s="16"/>
      <c r="N156" s="16"/>
    </row>
    <row r="157" spans="13:14" ht="36" customHeight="1">
      <c r="M157" s="16"/>
      <c r="N157" s="16"/>
    </row>
    <row r="158" spans="13:14" ht="36" customHeight="1"/>
    <row r="159" spans="13:14" ht="36" customHeight="1"/>
    <row r="160" spans="13:14" ht="36" customHeight="1"/>
    <row r="161" spans="13:14" ht="36" customHeight="1"/>
    <row r="162" spans="13:14" ht="36" customHeight="1">
      <c r="M162" s="16"/>
      <c r="N162" s="16"/>
    </row>
    <row r="163" spans="13:14" ht="36" customHeight="1"/>
    <row r="164" spans="13:14" ht="36" customHeight="1">
      <c r="M164" s="16"/>
      <c r="N164" s="16"/>
    </row>
    <row r="165" spans="13:14" ht="36" customHeight="1"/>
    <row r="166" spans="13:14" ht="36" customHeight="1"/>
    <row r="167" spans="13:14" ht="36" customHeight="1">
      <c r="M167" s="16"/>
      <c r="N167" s="16"/>
    </row>
    <row r="168" spans="13:14" ht="36" customHeight="1"/>
    <row r="169" spans="13:14" ht="36" customHeight="1"/>
    <row r="170" spans="13:14" ht="36" customHeight="1"/>
    <row r="171" spans="13:14" ht="36" customHeight="1"/>
    <row r="172" spans="13:14" ht="36" customHeight="1">
      <c r="M172" s="16"/>
      <c r="N172" s="16"/>
    </row>
    <row r="173" spans="13:14" ht="36" customHeight="1">
      <c r="M173" s="16"/>
      <c r="N173" s="16"/>
    </row>
    <row r="174" spans="13:14" ht="36" customHeight="1"/>
    <row r="175" spans="13:14" ht="36" customHeight="1"/>
    <row r="176" spans="13:14" ht="36" customHeight="1"/>
    <row r="177" spans="13:14" ht="36" customHeight="1"/>
    <row r="178" spans="13:14" ht="36" customHeight="1"/>
    <row r="179" spans="13:14" ht="36" customHeight="1">
      <c r="M179" s="16"/>
      <c r="N179" s="16"/>
    </row>
    <row r="180" spans="13:14" ht="36" customHeight="1"/>
    <row r="181" spans="13:14" ht="36" customHeight="1">
      <c r="M181" s="16"/>
      <c r="N181" s="16"/>
    </row>
    <row r="182" spans="13:14" ht="36" customHeight="1"/>
    <row r="183" spans="13:14" ht="36" customHeight="1"/>
    <row r="184" spans="13:14" ht="36" customHeight="1"/>
    <row r="185" spans="13:14" ht="36" customHeight="1">
      <c r="M185" s="16"/>
      <c r="N185" s="16"/>
    </row>
    <row r="186" spans="13:14" ht="36" customHeight="1"/>
    <row r="187" spans="13:14" ht="36" customHeight="1"/>
    <row r="188" spans="13:14" ht="36" customHeight="1">
      <c r="M188" s="16"/>
      <c r="N188" s="16"/>
    </row>
    <row r="189" spans="13:14" ht="36" customHeight="1"/>
    <row r="190" spans="13:14" ht="36" customHeight="1">
      <c r="M190" s="16"/>
      <c r="N190" s="16"/>
    </row>
    <row r="191" spans="13:14" ht="36" customHeight="1"/>
    <row r="192" spans="13:14" ht="36" customHeight="1"/>
    <row r="193" spans="13:14" ht="36" customHeight="1"/>
    <row r="194" spans="13:14" ht="36" customHeight="1">
      <c r="M194" s="16"/>
      <c r="N194" s="16"/>
    </row>
    <row r="195" spans="13:14" ht="36" customHeight="1">
      <c r="M195" s="16"/>
      <c r="N195" s="16"/>
    </row>
    <row r="196" spans="13:14" ht="36" customHeight="1"/>
    <row r="197" spans="13:14" ht="36" customHeight="1"/>
    <row r="198" spans="13:14" ht="36" customHeight="1"/>
    <row r="199" spans="13:14" ht="36" customHeight="1"/>
    <row r="200" spans="13:14" ht="36" customHeight="1"/>
    <row r="201" spans="13:14" ht="36" customHeight="1">
      <c r="M201" s="16"/>
      <c r="N201" s="16"/>
    </row>
    <row r="202" spans="13:14" ht="36" customHeight="1"/>
    <row r="203" spans="13:14" ht="36" customHeight="1"/>
    <row r="204" spans="13:14" ht="36" customHeight="1"/>
    <row r="205" spans="13:14" ht="36" customHeight="1"/>
    <row r="206" spans="13:14" ht="36" customHeight="1">
      <c r="M206" s="16"/>
      <c r="N206" s="16"/>
    </row>
    <row r="207" spans="13:14" ht="36" customHeight="1"/>
    <row r="208" spans="13:14" ht="36" customHeight="1">
      <c r="M208" s="16"/>
      <c r="N208" s="16"/>
    </row>
    <row r="209" spans="13:14" ht="36" customHeight="1"/>
    <row r="210" spans="13:14" ht="36" customHeight="1"/>
    <row r="211" spans="13:14" ht="36" customHeight="1"/>
    <row r="212" spans="13:14" ht="36" customHeight="1">
      <c r="M212" s="16"/>
      <c r="N212" s="16"/>
    </row>
    <row r="213" spans="13:14" ht="36" customHeight="1"/>
    <row r="214" spans="13:14" ht="36" customHeight="1"/>
    <row r="215" spans="13:14" ht="36" customHeight="1">
      <c r="M215" s="16"/>
      <c r="N215" s="16"/>
    </row>
    <row r="216" spans="13:14" ht="36" customHeight="1"/>
    <row r="217" spans="13:14" ht="36" customHeight="1">
      <c r="M217" s="16"/>
      <c r="N217" s="16"/>
    </row>
    <row r="218" spans="13:14" ht="36" customHeight="1"/>
    <row r="219" spans="13:14" ht="36" customHeight="1"/>
    <row r="220" spans="13:14" ht="36" customHeight="1">
      <c r="M220" s="16"/>
      <c r="N220" s="16"/>
    </row>
    <row r="221" spans="13:14" ht="36" customHeight="1"/>
    <row r="222" spans="13:14" ht="36" customHeight="1"/>
    <row r="223" spans="13:14" ht="36" customHeight="1">
      <c r="M223" s="16"/>
      <c r="N223" s="16"/>
    </row>
    <row r="224" spans="13:14" ht="36" customHeight="1"/>
    <row r="225" spans="13:14" ht="15.75" customHeight="1">
      <c r="M225" s="16"/>
      <c r="N225" s="16"/>
    </row>
    <row r="226" spans="13:14" ht="15.75" customHeight="1"/>
    <row r="227" spans="13:14" ht="15.75" customHeight="1"/>
    <row r="228" spans="13:14" ht="15.75" customHeight="1">
      <c r="M228" s="16"/>
      <c r="N228" s="16"/>
    </row>
    <row r="229" spans="13:14" ht="15.75" customHeight="1"/>
    <row r="230" spans="13:14" ht="15.75" customHeight="1"/>
    <row r="231" spans="13:14" ht="15.75" customHeight="1">
      <c r="M231" s="16"/>
      <c r="N231" s="16"/>
    </row>
    <row r="232" spans="13:14" ht="15.75" customHeight="1"/>
    <row r="233" spans="13:14" ht="15.75" customHeight="1"/>
    <row r="234" spans="13:14" ht="15.75" customHeight="1">
      <c r="M234" s="16"/>
      <c r="N234" s="16"/>
    </row>
    <row r="235" spans="13:14" ht="15.75" customHeight="1"/>
    <row r="236" spans="13:14" ht="15.75" customHeight="1"/>
    <row r="237" spans="13:14" ht="15.75" customHeight="1">
      <c r="M237" s="16"/>
      <c r="N237" s="16"/>
    </row>
    <row r="238" spans="13:14" ht="15.75" customHeight="1"/>
    <row r="239" spans="13:14" ht="15.75" customHeight="1"/>
    <row r="240" spans="13:14" ht="15.75" customHeight="1">
      <c r="M240" s="16"/>
      <c r="N240" s="16"/>
    </row>
    <row r="241" spans="13:14" ht="15.75" customHeight="1"/>
    <row r="242" spans="13:14" ht="15.75" customHeight="1"/>
    <row r="243" spans="13:14" ht="15.75" customHeight="1">
      <c r="M243" s="16"/>
      <c r="N243" s="16"/>
    </row>
    <row r="244" spans="13:14" ht="15.75" customHeight="1"/>
    <row r="245" spans="13:14" ht="15.75" customHeight="1"/>
    <row r="246" spans="13:14" ht="15.75" customHeight="1">
      <c r="M246" s="16"/>
      <c r="N246" s="16"/>
    </row>
    <row r="247" spans="13:14" ht="15.75" customHeight="1"/>
    <row r="248" spans="13:14" ht="15.75" customHeight="1">
      <c r="M248" s="16"/>
      <c r="N248" s="16"/>
    </row>
    <row r="249" spans="13:14" ht="15.75" customHeight="1"/>
    <row r="250" spans="13:14" ht="15.75" customHeight="1"/>
    <row r="251" spans="13:14" ht="15.75" customHeight="1"/>
    <row r="252" spans="13:14" ht="15.75" customHeight="1">
      <c r="M252" s="16"/>
      <c r="N252" s="16"/>
    </row>
    <row r="253" spans="13:14" ht="15.75" customHeight="1"/>
    <row r="254" spans="13:14" ht="15.75" customHeight="1"/>
    <row r="255" spans="13:14" ht="15.75" customHeight="1">
      <c r="M255" s="16"/>
      <c r="N255" s="16"/>
    </row>
    <row r="256" spans="13:14" ht="15.75" customHeight="1"/>
    <row r="257" spans="13:14" ht="15.75" customHeight="1"/>
    <row r="258" spans="13:14" ht="15.75" customHeight="1"/>
    <row r="259" spans="13:14" ht="15.75" customHeight="1">
      <c r="M259" s="16"/>
      <c r="N259" s="16"/>
    </row>
    <row r="260" spans="13:14" ht="15.75" customHeight="1"/>
    <row r="261" spans="13:14" ht="15.75" customHeight="1">
      <c r="M261" s="16"/>
      <c r="N261" s="16"/>
    </row>
    <row r="262" spans="13:14" ht="15.75" customHeight="1"/>
    <row r="263" spans="13:14" ht="15.75" customHeight="1"/>
    <row r="264" spans="13:14" ht="15.75" customHeight="1"/>
    <row r="265" spans="13:14" ht="15.75" customHeight="1">
      <c r="M265" s="16"/>
      <c r="N265" s="16"/>
    </row>
    <row r="266" spans="13:14" ht="15.75" customHeight="1"/>
    <row r="267" spans="13:14" ht="15.75" customHeight="1"/>
    <row r="268" spans="13:14" ht="15.75" customHeight="1">
      <c r="M268" s="16"/>
      <c r="N268" s="16"/>
    </row>
    <row r="269" spans="13:14" ht="15.75" customHeight="1"/>
    <row r="270" spans="13:14" ht="15.75" customHeight="1"/>
    <row r="271" spans="13:14" ht="15.75" customHeight="1">
      <c r="M271" s="16"/>
      <c r="N271" s="16"/>
    </row>
    <row r="272" spans="13:14" ht="15.75" customHeight="1"/>
    <row r="273" spans="13:14" ht="15.75" customHeight="1"/>
    <row r="274" spans="13:14" ht="15.75" customHeight="1"/>
    <row r="275" spans="13:14" ht="15.75" customHeight="1">
      <c r="M275" s="16"/>
      <c r="N275" s="16"/>
    </row>
    <row r="276" spans="13:14" ht="15.75" customHeight="1"/>
    <row r="277" spans="13:14" ht="15.75" customHeight="1">
      <c r="M277" s="16"/>
      <c r="N277" s="16"/>
    </row>
    <row r="278" spans="13:14" ht="15.75" customHeight="1"/>
    <row r="279" spans="13:14" ht="15.75" customHeight="1"/>
    <row r="280" spans="13:14" ht="15.75" customHeight="1">
      <c r="M280" s="16"/>
      <c r="N280" s="16"/>
    </row>
    <row r="281" spans="13:14" ht="15.75" customHeight="1"/>
    <row r="282" spans="13:14" ht="15.75" customHeight="1"/>
    <row r="283" spans="13:14" ht="15.75" customHeight="1">
      <c r="M283" s="16"/>
      <c r="N283" s="16"/>
    </row>
    <row r="284" spans="13:14" ht="15.75" customHeight="1"/>
    <row r="285" spans="13:14" ht="15.75" customHeight="1"/>
    <row r="286" spans="13:14" ht="15.75" customHeight="1"/>
    <row r="287" spans="13:14" ht="15.75" customHeight="1">
      <c r="M287" s="16"/>
      <c r="N287" s="16"/>
    </row>
    <row r="288" spans="13:14" ht="15.75" customHeight="1"/>
    <row r="289" spans="13:14" ht="15.75" customHeight="1">
      <c r="M289" s="16"/>
      <c r="N289" s="16"/>
    </row>
    <row r="290" spans="13:14" ht="15.75" customHeight="1"/>
    <row r="291" spans="13:14" ht="15.75" customHeight="1"/>
    <row r="292" spans="13:14" ht="15.75" customHeight="1"/>
    <row r="293" spans="13:14" ht="15.75" customHeight="1"/>
    <row r="294" spans="13:14" ht="15.75" customHeight="1"/>
    <row r="295" spans="13:14" ht="15.75" customHeight="1">
      <c r="M295" s="16"/>
      <c r="N295" s="16"/>
    </row>
    <row r="296" spans="13:14" ht="15.75" customHeight="1"/>
    <row r="297" spans="13:14" ht="15.75" customHeight="1"/>
    <row r="298" spans="13:14" ht="15.75" customHeight="1"/>
    <row r="299" spans="13:14" ht="15.75" customHeight="1"/>
    <row r="300" spans="13:14" ht="15.75" customHeight="1"/>
    <row r="301" spans="13:14" ht="15.75" customHeight="1">
      <c r="M301" s="16"/>
      <c r="N301" s="16"/>
    </row>
    <row r="302" spans="13:14" ht="15.75" customHeight="1">
      <c r="M302" s="16"/>
      <c r="N302" s="16"/>
    </row>
    <row r="303" spans="13:14" ht="15.75" customHeight="1"/>
    <row r="304" spans="13:14" ht="15.75" customHeight="1"/>
    <row r="305" spans="13:14" ht="15.75" customHeight="1"/>
    <row r="306" spans="13:14" ht="15.75" customHeight="1"/>
    <row r="307" spans="13:14" ht="15.75" customHeight="1">
      <c r="M307" s="16"/>
      <c r="N307" s="16"/>
    </row>
    <row r="308" spans="13:14" ht="15.75" customHeight="1"/>
    <row r="309" spans="13:14" ht="15.75" customHeight="1">
      <c r="M309" s="16"/>
      <c r="N309" s="16"/>
    </row>
    <row r="310" spans="13:14" ht="15.75" customHeight="1"/>
    <row r="311" spans="13:14" ht="15.75" customHeight="1"/>
    <row r="312" spans="13:14" ht="15.75" customHeight="1"/>
    <row r="313" spans="13:14" ht="15.75" customHeight="1">
      <c r="M313" s="16"/>
      <c r="N313" s="16"/>
    </row>
    <row r="314" spans="13:14" ht="15.75" customHeight="1"/>
    <row r="315" spans="13:14" ht="15.75" customHeight="1"/>
    <row r="316" spans="13:14" ht="15.75" customHeight="1">
      <c r="M316" s="16"/>
      <c r="N316" s="16"/>
    </row>
    <row r="317" spans="13:14" ht="15.75" customHeight="1"/>
    <row r="318" spans="13:14" ht="15.75" customHeight="1"/>
    <row r="319" spans="13:14" ht="15.75" customHeight="1">
      <c r="M319" s="16"/>
      <c r="N319" s="16"/>
    </row>
    <row r="320" spans="13:14" ht="15.75" customHeight="1"/>
    <row r="321" spans="13:14" ht="15.75" customHeight="1"/>
    <row r="322" spans="13:14" ht="15.75" customHeight="1"/>
    <row r="323" spans="13:14" ht="15.75" customHeight="1">
      <c r="M323" s="16"/>
      <c r="N323" s="16"/>
    </row>
    <row r="324" spans="13:14" ht="15.75" customHeight="1"/>
    <row r="325" spans="13:14" ht="15.75" customHeight="1">
      <c r="M325" s="16"/>
      <c r="N325" s="16"/>
    </row>
    <row r="326" spans="13:14" ht="15.75" customHeight="1"/>
    <row r="327" spans="13:14" ht="15.75" customHeight="1"/>
    <row r="328" spans="13:14" ht="15.75" customHeight="1"/>
    <row r="329" spans="13:14" ht="15.75" customHeight="1"/>
    <row r="330" spans="13:14" ht="15.75" customHeight="1">
      <c r="M330" s="16"/>
      <c r="N330" s="16"/>
    </row>
    <row r="331" spans="13:14" ht="15.75" customHeight="1">
      <c r="M331" s="16"/>
      <c r="N331" s="16"/>
    </row>
    <row r="332" spans="13:14" ht="15.75" customHeight="1"/>
    <row r="333" spans="13:14" ht="15.75" customHeight="1"/>
    <row r="334" spans="13:14" ht="15.75" customHeight="1"/>
    <row r="335" spans="13:14" ht="15.75" customHeight="1"/>
    <row r="336" spans="13:14" ht="15.75" customHeight="1"/>
    <row r="337" spans="13:14" ht="15.75" customHeight="1">
      <c r="M337" s="16"/>
      <c r="N337" s="16"/>
    </row>
    <row r="338" spans="13:14" ht="15.75" customHeight="1"/>
    <row r="339" spans="13:14" ht="15.75" customHeight="1"/>
    <row r="340" spans="13:14" ht="15.75" customHeight="1"/>
    <row r="341" spans="13:14" ht="15.75" customHeight="1"/>
    <row r="342" spans="13:14" ht="15.75" customHeight="1"/>
    <row r="343" spans="13:14" ht="15.75" customHeight="1">
      <c r="M343" s="16"/>
      <c r="N343" s="16"/>
    </row>
    <row r="344" spans="13:14" ht="15.75" customHeight="1">
      <c r="M344" s="16"/>
      <c r="N344" s="16"/>
    </row>
    <row r="345" spans="13:14" ht="15.75" customHeight="1"/>
    <row r="346" spans="13:14" ht="15.75" customHeight="1"/>
    <row r="347" spans="13:14" ht="15.75" customHeight="1"/>
    <row r="348" spans="13:14" ht="15.75" customHeight="1"/>
    <row r="349" spans="13:14" ht="15.75" customHeight="1">
      <c r="M349" s="16"/>
      <c r="N349" s="16"/>
    </row>
    <row r="350" spans="13:14" ht="15.75" customHeight="1"/>
    <row r="351" spans="13:14" ht="15.75" customHeight="1">
      <c r="M351" s="16"/>
      <c r="N351" s="16"/>
    </row>
    <row r="352" spans="13:14" ht="15.75" customHeight="1"/>
    <row r="353" spans="13:14" ht="15.75" customHeight="1"/>
    <row r="354" spans="13:14" ht="15.75" customHeight="1">
      <c r="M354" s="16"/>
      <c r="N354" s="16"/>
    </row>
    <row r="355" spans="13:14" ht="15.75" customHeight="1"/>
    <row r="356" spans="13:14" ht="15.75" customHeight="1"/>
    <row r="357" spans="13:14" ht="15.75" customHeight="1"/>
    <row r="358" spans="13:14" ht="15.75" customHeight="1">
      <c r="M358" s="16"/>
      <c r="N358" s="16"/>
    </row>
    <row r="359" spans="13:14" ht="15.75" customHeight="1"/>
    <row r="360" spans="13:14" ht="15.75" customHeight="1">
      <c r="M360" s="16"/>
      <c r="N360" s="16"/>
    </row>
    <row r="361" spans="13:14" ht="15.75" customHeight="1"/>
    <row r="362" spans="13:14" ht="15.75" customHeight="1"/>
    <row r="363" spans="13:14" ht="15.75" customHeight="1"/>
    <row r="364" spans="13:14" ht="15.75" customHeight="1"/>
    <row r="365" spans="13:14" ht="15.75" customHeight="1">
      <c r="M365" s="16"/>
      <c r="N365" s="16"/>
    </row>
    <row r="366" spans="13:14" ht="15.75" customHeight="1">
      <c r="M366" s="16"/>
      <c r="N366" s="16"/>
    </row>
    <row r="367" spans="13:14" ht="15.75" customHeight="1"/>
    <row r="368" spans="13:14" ht="15.75" customHeight="1"/>
    <row r="369" spans="13:14" ht="15.75" customHeight="1"/>
    <row r="370" spans="13:14" ht="15.75" customHeight="1"/>
    <row r="371" spans="13:14" ht="15.75" customHeight="1"/>
    <row r="372" spans="13:14" ht="15.75" customHeight="1">
      <c r="M372" s="16"/>
      <c r="N372" s="16"/>
    </row>
    <row r="373" spans="13:14" ht="15.75" customHeight="1"/>
    <row r="374" spans="13:14" ht="15.75" customHeight="1"/>
    <row r="375" spans="13:14" ht="15.75" customHeight="1"/>
    <row r="376" spans="13:14" ht="15.75" customHeight="1"/>
    <row r="377" spans="13:14" ht="15.75" customHeight="1"/>
    <row r="378" spans="13:14" ht="15.75" customHeight="1">
      <c r="M378" s="16"/>
      <c r="N378" s="16"/>
    </row>
    <row r="379" spans="13:14" ht="15.75" customHeight="1">
      <c r="M379" s="16"/>
      <c r="N379" s="16"/>
    </row>
    <row r="380" spans="13:14" ht="15.75" customHeight="1"/>
    <row r="381" spans="13:14" ht="15.75" customHeight="1"/>
    <row r="382" spans="13:14" ht="15.75" customHeight="1"/>
    <row r="383" spans="13:14" ht="15.75" customHeight="1"/>
    <row r="384" spans="13:14" ht="15.75" customHeight="1">
      <c r="M384" s="16"/>
      <c r="N384" s="16"/>
    </row>
    <row r="385" spans="13:14" ht="15.75" customHeight="1"/>
    <row r="386" spans="13:14" ht="15.75" customHeight="1">
      <c r="M386" s="16"/>
      <c r="N386" s="16"/>
    </row>
    <row r="387" spans="13:14" ht="15.75" customHeight="1"/>
    <row r="388" spans="13:14" ht="15.75" customHeight="1"/>
    <row r="389" spans="13:14" ht="15.75" customHeight="1"/>
    <row r="390" spans="13:14" ht="15.75" customHeight="1">
      <c r="M390" s="16"/>
      <c r="N390" s="16"/>
    </row>
    <row r="391" spans="13:14" ht="15.75" customHeight="1"/>
    <row r="392" spans="13:14" ht="15.75" customHeight="1"/>
    <row r="393" spans="13:14" ht="15.75" customHeight="1">
      <c r="M393" s="16"/>
      <c r="N393" s="16"/>
    </row>
    <row r="394" spans="13:14" ht="15.75" customHeight="1"/>
    <row r="395" spans="13:14" ht="15.75" customHeight="1"/>
    <row r="396" spans="13:14" ht="15.75" customHeight="1">
      <c r="M396" s="16"/>
      <c r="N396" s="16"/>
    </row>
    <row r="397" spans="13:14" ht="15.75" customHeight="1"/>
    <row r="398" spans="13:14" ht="15.75" customHeight="1"/>
    <row r="399" spans="13:14" ht="15.75" customHeight="1"/>
    <row r="400" spans="13:14" ht="15.75" customHeight="1">
      <c r="M400" s="16"/>
      <c r="N400" s="16"/>
    </row>
    <row r="401" spans="13:14" ht="15.75" customHeight="1"/>
    <row r="402" spans="13:14" ht="15.75" customHeight="1">
      <c r="M402" s="16"/>
      <c r="N402" s="16"/>
    </row>
    <row r="403" spans="13:14" ht="15.75" customHeight="1"/>
    <row r="404" spans="13:14" ht="15.75" customHeight="1"/>
    <row r="405" spans="13:14" ht="15.75" customHeight="1">
      <c r="M405" s="16"/>
      <c r="N405" s="16"/>
    </row>
    <row r="406" spans="13:14" ht="15.75" customHeight="1"/>
    <row r="407" spans="13:14" ht="15.75" customHeight="1"/>
    <row r="408" spans="13:14" ht="15.75" customHeight="1">
      <c r="M408" s="16"/>
      <c r="N408" s="16"/>
    </row>
    <row r="409" spans="13:14" ht="15.75" customHeight="1"/>
    <row r="410" spans="13:14" ht="15.75" customHeight="1"/>
    <row r="411" spans="13:14" ht="15.75" customHeight="1"/>
    <row r="412" spans="13:14" ht="15.75" customHeight="1">
      <c r="M412" s="16"/>
      <c r="N412" s="16"/>
    </row>
    <row r="413" spans="13:14" ht="15.75" customHeight="1"/>
    <row r="414" spans="13:14" ht="15.75" customHeight="1">
      <c r="M414" s="16"/>
      <c r="N414" s="16"/>
    </row>
    <row r="415" spans="13:14" ht="15.75" customHeight="1"/>
    <row r="416" spans="13:14" ht="15.75" customHeight="1"/>
    <row r="417" spans="13:14" ht="15.75" customHeight="1"/>
    <row r="418" spans="13:14" ht="15.75" customHeight="1"/>
    <row r="419" spans="13:14" ht="15.75" customHeight="1">
      <c r="M419" s="16"/>
      <c r="N419" s="16"/>
    </row>
    <row r="420" spans="13:14" ht="15.75" customHeight="1">
      <c r="M420" s="16"/>
      <c r="N420" s="16"/>
    </row>
    <row r="421" spans="13:14" ht="15.75" customHeight="1"/>
    <row r="422" spans="13:14" ht="15.75" customHeight="1"/>
    <row r="423" spans="13:14" ht="15.75" customHeight="1"/>
    <row r="424" spans="13:14" ht="15.75" customHeight="1"/>
    <row r="425" spans="13:14" ht="15.75" customHeight="1"/>
    <row r="426" spans="13:14" ht="15.75" customHeight="1">
      <c r="M426" s="16"/>
      <c r="N426" s="16"/>
    </row>
    <row r="427" spans="13:14" ht="15.75" customHeight="1"/>
    <row r="428" spans="13:14" ht="15.75" customHeight="1"/>
    <row r="429" spans="13:14" ht="15.75" customHeight="1"/>
    <row r="430" spans="13:14" ht="15.75" customHeight="1"/>
    <row r="431" spans="13:14" ht="15.75" customHeight="1">
      <c r="M431" s="16"/>
      <c r="N431" s="16"/>
    </row>
    <row r="432" spans="13:14" ht="15.75" customHeight="1"/>
    <row r="433" spans="13:14" ht="15.75" customHeight="1">
      <c r="M433" s="16"/>
      <c r="N433" s="16"/>
    </row>
    <row r="434" spans="13:14" ht="15.75" customHeight="1"/>
    <row r="435" spans="13:14" ht="15.75" customHeight="1"/>
    <row r="436" spans="13:14" ht="15.75" customHeight="1">
      <c r="M436" s="16"/>
      <c r="N436" s="16"/>
    </row>
    <row r="437" spans="13:14" ht="15.75" customHeight="1"/>
    <row r="438" spans="13:14" ht="15.75" customHeight="1"/>
    <row r="439" spans="13:14" ht="15.75" customHeight="1"/>
    <row r="440" spans="13:14" ht="15.75" customHeight="1">
      <c r="M440" s="16"/>
      <c r="N440" s="16"/>
    </row>
    <row r="441" spans="13:14" ht="15.75" customHeight="1"/>
    <row r="442" spans="13:14" ht="15.75" customHeight="1">
      <c r="M442" s="16"/>
      <c r="N442" s="16"/>
    </row>
    <row r="443" spans="13:14" ht="15.75" customHeight="1"/>
    <row r="444" spans="13:14" ht="15.75" customHeight="1"/>
    <row r="445" spans="13:14" ht="15.75" customHeight="1"/>
    <row r="446" spans="13:14" ht="15.75" customHeight="1">
      <c r="M446" s="16"/>
      <c r="N446" s="16"/>
    </row>
    <row r="447" spans="13:14" ht="15.75" customHeight="1">
      <c r="M447" s="16"/>
      <c r="N447" s="16"/>
    </row>
    <row r="448" spans="13:14" ht="15.75" customHeight="1"/>
    <row r="449" spans="13:14" ht="15.75" customHeight="1"/>
    <row r="450" spans="13:14" ht="15.75" customHeight="1"/>
    <row r="451" spans="13:14" ht="15.75" customHeight="1"/>
    <row r="452" spans="13:14" ht="15.75" customHeight="1"/>
    <row r="453" spans="13:14" ht="15.75" customHeight="1">
      <c r="M453" s="16"/>
      <c r="N453" s="16"/>
    </row>
    <row r="454" spans="13:14" ht="15.75" customHeight="1"/>
    <row r="455" spans="13:14" ht="15.75" customHeight="1"/>
    <row r="456" spans="13:14" ht="15.75" customHeight="1"/>
    <row r="457" spans="13:14" ht="15.75" customHeight="1"/>
    <row r="458" spans="13:14" ht="15.75" customHeight="1"/>
    <row r="459" spans="13:14" ht="15.75" customHeight="1">
      <c r="M459" s="16"/>
      <c r="N459" s="16"/>
    </row>
    <row r="460" spans="13:14" ht="15.75" customHeight="1">
      <c r="M460" s="16"/>
      <c r="N460" s="16"/>
    </row>
    <row r="461" spans="13:14" ht="15.75" customHeight="1"/>
    <row r="462" spans="13:14" ht="15.75" customHeight="1"/>
    <row r="463" spans="13:14" ht="15.75" customHeight="1"/>
    <row r="464" spans="13:14" ht="15.75" customHeight="1"/>
    <row r="465" spans="13:14" ht="15.75" customHeight="1">
      <c r="M465" s="16"/>
      <c r="N465" s="16"/>
    </row>
    <row r="466" spans="13:14" ht="15.75" customHeight="1"/>
    <row r="467" spans="13:14" ht="15.75" customHeight="1">
      <c r="M467" s="16"/>
      <c r="N467" s="16"/>
    </row>
    <row r="468" spans="13:14" ht="15.75" customHeight="1"/>
    <row r="469" spans="13:14" ht="15.75" customHeight="1"/>
    <row r="470" spans="13:14" ht="15.75" customHeight="1"/>
    <row r="471" spans="13:14" ht="15.75" customHeight="1"/>
    <row r="472" spans="13:14" ht="15.75" customHeight="1"/>
    <row r="473" spans="13:14" ht="15.75" customHeight="1"/>
    <row r="474" spans="13:14" ht="15.75" customHeight="1">
      <c r="M474" s="16"/>
      <c r="N474" s="16"/>
    </row>
    <row r="475" spans="13:14" ht="15.75" customHeight="1"/>
    <row r="476" spans="13:14" ht="15.75" customHeight="1"/>
    <row r="477" spans="13:14" ht="15.75" customHeight="1"/>
    <row r="478" spans="13:14" ht="15.75" customHeight="1"/>
    <row r="479" spans="13:14" ht="15.75" customHeight="1"/>
    <row r="480" spans="13:14" ht="15.75" customHeight="1"/>
    <row r="481" spans="13:14" ht="15.75" customHeight="1">
      <c r="M481" s="16"/>
      <c r="N481" s="16"/>
    </row>
    <row r="482" spans="13:14" ht="15.75" customHeight="1"/>
    <row r="483" spans="13:14" ht="15.75" customHeight="1"/>
    <row r="484" spans="13:14" ht="15.75" customHeight="1"/>
    <row r="485" spans="13:14" ht="15.75" customHeight="1"/>
    <row r="486" spans="13:14" ht="15.75" customHeight="1"/>
    <row r="487" spans="13:14" ht="15.75" customHeight="1"/>
    <row r="488" spans="13:14" ht="15.75" customHeight="1">
      <c r="M488" s="16"/>
      <c r="N488" s="16"/>
    </row>
    <row r="489" spans="13:14" ht="15.75" customHeight="1"/>
    <row r="490" spans="13:14" ht="15.75" customHeight="1"/>
    <row r="491" spans="13:14" ht="15.75" customHeight="1"/>
    <row r="492" spans="13:14" ht="15.75" customHeight="1"/>
    <row r="493" spans="13:14" ht="15.75" customHeight="1"/>
    <row r="494" spans="13:14" ht="15.75" customHeight="1">
      <c r="M494" s="16"/>
      <c r="N494" s="16"/>
    </row>
    <row r="495" spans="13:14" ht="15.75" customHeight="1"/>
    <row r="496" spans="13:14" ht="15.75" customHeight="1"/>
    <row r="497" spans="13:14" ht="15.75" customHeight="1"/>
    <row r="498" spans="13:14" ht="15.75" customHeight="1"/>
    <row r="499" spans="13:14" ht="15.75" customHeight="1"/>
    <row r="500" spans="13:14" ht="15.75" customHeight="1">
      <c r="M500" s="16"/>
      <c r="N500" s="16"/>
    </row>
    <row r="501" spans="13:14" ht="15.75" customHeight="1"/>
    <row r="502" spans="13:14" ht="15.75" customHeight="1"/>
    <row r="503" spans="13:14" ht="15.75" customHeight="1"/>
    <row r="504" spans="13:14" ht="15.75" customHeight="1"/>
    <row r="505" spans="13:14" ht="15.75" customHeight="1"/>
    <row r="506" spans="13:14" ht="15.75" customHeight="1"/>
    <row r="507" spans="13:14" ht="15.75" customHeight="1">
      <c r="M507" s="16"/>
      <c r="N507" s="16"/>
    </row>
    <row r="508" spans="13:14" ht="15.75" customHeight="1"/>
    <row r="509" spans="13:14" ht="15.75" customHeight="1"/>
    <row r="510" spans="13:14" ht="15.75" customHeight="1"/>
    <row r="511" spans="13:14" ht="15.75" customHeight="1"/>
    <row r="512" spans="13:14" ht="15.75" customHeight="1"/>
    <row r="513" spans="13:14" ht="15.75" customHeight="1">
      <c r="M513" s="16"/>
      <c r="N513" s="16"/>
    </row>
    <row r="514" spans="13:14" ht="15.75" customHeight="1"/>
    <row r="515" spans="13:14" ht="15.75" customHeight="1"/>
    <row r="516" spans="13:14" ht="15.75" customHeight="1"/>
    <row r="517" spans="13:14" ht="15.75" customHeight="1"/>
    <row r="518" spans="13:14" ht="15.75" customHeight="1"/>
    <row r="519" spans="13:14" ht="15.75" customHeight="1"/>
    <row r="520" spans="13:14" ht="15.75" customHeight="1">
      <c r="M520" s="16"/>
      <c r="N520" s="16"/>
    </row>
    <row r="521" spans="13:14" ht="15.75" customHeight="1"/>
    <row r="522" spans="13:14" ht="15.75" customHeight="1"/>
    <row r="523" spans="13:14" ht="15.75" customHeight="1"/>
    <row r="524" spans="13:14" ht="15.75" customHeight="1"/>
    <row r="525" spans="13:14" ht="15.75" customHeight="1"/>
    <row r="526" spans="13:14" ht="15.75" customHeight="1"/>
    <row r="527" spans="13:14" ht="15.75" customHeight="1">
      <c r="M527" s="16"/>
      <c r="N527" s="16"/>
    </row>
    <row r="528" spans="13:14" ht="15.75" customHeight="1"/>
    <row r="529" spans="13:14" ht="15.75" customHeight="1"/>
    <row r="530" spans="13:14" ht="15.75" customHeight="1"/>
    <row r="531" spans="13:14" ht="15.75" customHeight="1"/>
    <row r="532" spans="13:14" ht="15.75" customHeight="1"/>
    <row r="533" spans="13:14" ht="15.75" customHeight="1"/>
    <row r="534" spans="13:14" ht="15.75" customHeight="1">
      <c r="M534" s="16"/>
      <c r="N534" s="16"/>
    </row>
    <row r="535" spans="13:14" ht="15.75" customHeight="1"/>
    <row r="536" spans="13:14" ht="15.75" customHeight="1"/>
    <row r="537" spans="13:14" ht="15.75" customHeight="1"/>
    <row r="538" spans="13:14" ht="15.75" customHeight="1"/>
    <row r="539" spans="13:14" ht="15.75" customHeight="1"/>
    <row r="540" spans="13:14" ht="15.75" customHeight="1"/>
    <row r="541" spans="13:14" ht="15.75" customHeight="1"/>
    <row r="542" spans="13:14" ht="15.75" customHeight="1"/>
    <row r="543" spans="13:14" ht="15.75" customHeight="1"/>
    <row r="544" spans="13:1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O2"/>
    <mergeCell ref="A3:O3"/>
  </mergeCells>
  <dataValidations count="4">
    <dataValidation type="list" allowBlank="1" sqref="M6:M24" xr:uid="{00000000-0002-0000-0200-000000000000}">
      <formula1>"Not Run,Pass,Fail,Blocked,Planned"</formula1>
    </dataValidation>
    <dataValidation type="list" allowBlank="1" sqref="L6:L24" xr:uid="{00000000-0002-0000-0200-000001000000}">
      <formula1>"Not Automated,In Progress,Automated,Skipped,Planned"</formula1>
    </dataValidation>
    <dataValidation type="list" allowBlank="1" sqref="N6 N11 N17:N18 N22 N24 M25:M27 M28:N28 M29 M30:N30 M31:M32 M33:N33 M34:M35 M36:N36 M37:M38 M39:N39 M40:M41 M42:N42 M43:M44 M45:N45 M46:M48 M49:N49 M50 M51:N51 M52:M55 M56:N56 M57:M60 M61:N61 M62:M63 M64:N64 M65:M69 M70:N71 M72:M76 M77:N77 M78:M79 M80:N80 M81:M83 M84:N84 N88 N91 N97 N102 N105 N108 N112 N114 N118 N120 N125 N131:N132 N137 N139 N143:N144 N149:N150 N156:N157 N162 N164 N167 N172:N173 N179 N181 N185 N188 N190 N194:N195 N201 N206 N208 N212 N215 N217 N220 N223 N225 N228 N231 N234 N237 N240 N243 N246 N248 N252 N255 N259 N261 N265 N268 N271 N275 N277 N280 N283 N287 N289 N295 N301:N302 N307 N309 N313 N316 N319 N323 N325 N330:N331 N337 N343:N344 N349 N351 N354 N358 N360 N365:N366 N372 N378:N379 N384 N386 N390 N393 N396 N400 N402 N405 N408 N412 N414 N419:N420 N426 N431 N433 N436 N440 N442 N446:N447 N453 N459:N460 N465 N467 N474 N481 N488 N494 N500 N507 N513 N520 N527 N534" xr:uid="{00000000-0002-0000-0200-000002000000}">
      <formula1>"Not Run,Pass,Fail,Blocked"</formula1>
    </dataValidation>
    <dataValidation type="list" allowBlank="1" sqref="L25:L84 M88 M91 M97 M102 M105 M108 M112 M114 M118 M120 M125 M131:M132 M137 M139 M143:M144 M149:M150 M156:M157 M162 M164 M167 M172:M173 M179 M181 M185 M188 M190 M194:M195 M201 M206 M208 M212 M215 M217 M220 M223 M225 M228 M231 M234 M237 M240 M243 M246 M248 M252 M255 M259 M261 M265 M268 M271 M275 M277 M280 M283 M287 M289 M295 M301:M302 M307 M309 M313 M316 M319 M323 M325 M330:M331 M337 M343:M344 M349 M351 M354 M358 M360 M365:M366 M372 M378:M379 M384 M386 M390 M393 M396 M400 M402 M405 M408 M412 M414 M419:M420 M426 M431 M433 M436 M440 M442 M446:M447 M453 M459:M460 M465 M467 M474 M481 M488 M494 M500 M507 M513 M520 M527 M534" xr:uid="{00000000-0002-0000-0200-000003000000}">
      <formula1>"Not Automated,In Progress,Automated,Skipped"</formula1>
    </dataValidation>
  </dataValidations>
  <pageMargins left="0.7" right="0.7" top="0.75" bottom="0.75" header="0" footer="0"/>
  <pageSetup orientation="landscape"/>
  <ignoredErrors>
    <ignoredError sqref="N6" listDataValidation="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Test Scenarios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gaviria silerio</cp:lastModifiedBy>
  <dcterms:modified xsi:type="dcterms:W3CDTF">2026-10-06T19:11:55Z</dcterms:modified>
</cp:coreProperties>
</file>